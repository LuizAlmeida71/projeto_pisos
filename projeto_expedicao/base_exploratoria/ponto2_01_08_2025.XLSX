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"/>
    </mc:Choice>
  </mc:AlternateContent>
  <xr:revisionPtr revIDLastSave="0" documentId="13_ncr:1_{33A3C78A-10DF-48E1-A45C-BB18BF148663}" xr6:coauthVersionLast="47" xr6:coauthVersionMax="47" xr10:uidLastSave="{00000000-0000-0000-0000-000000000000}"/>
  <bookViews>
    <workbookView xWindow="-110" yWindow="-110" windowWidth="25820" windowHeight="15500" activeTab="2" xr2:uid="{1CF07F03-D7FD-48A8-AB2A-1B6686AA2203}"/>
  </bookViews>
  <sheets>
    <sheet name="Planilha1" sheetId="1" r:id="rId1"/>
    <sheet name="Planilha4" sheetId="4" r:id="rId2"/>
    <sheet name="Planilha2" sheetId="2" r:id="rId3"/>
  </sheets>
  <definedNames>
    <definedName name="_xlnm._FilterDatabase" localSheetId="2" hidden="1">Planilha2!$A$1:$M$194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2" i="2"/>
</calcChain>
</file>

<file path=xl/sharedStrings.xml><?xml version="1.0" encoding="utf-8"?>
<sst xmlns="http://schemas.openxmlformats.org/spreadsheetml/2006/main" count="1144" uniqueCount="406">
  <si>
    <t>idclifor</t>
  </si>
  <si>
    <t>nome</t>
  </si>
  <si>
    <t>tabela_regiao_descrregiao</t>
  </si>
  <si>
    <t>dtpreventrega</t>
  </si>
  <si>
    <t>Código Produto</t>
  </si>
  <si>
    <t>Descrição do Produto</t>
  </si>
  <si>
    <t>qtdcomprada</t>
  </si>
  <si>
    <t>produto_retirar_saldos_view_saldo</t>
  </si>
  <si>
    <t>politica_preco_produto_valor</t>
  </si>
  <si>
    <t>qtdretirada</t>
  </si>
  <si>
    <t>valpendente</t>
  </si>
  <si>
    <t>valretirado</t>
  </si>
  <si>
    <t>SIDMAR SOUSA</t>
  </si>
  <si>
    <t>03/01/2025 11:53:17:243</t>
  </si>
  <si>
    <t>ARGAMASSA WEBER PORCELANATO INT CZ 20KG</t>
  </si>
  <si>
    <t>LUCIELE FERREIRA DE SOUZA</t>
  </si>
  <si>
    <t>07/01/2025 12:00:12:541</t>
  </si>
  <si>
    <t>MASSA CORRIDA 25KG SUVINIL 50687535</t>
  </si>
  <si>
    <t>JOSE HENRIQUE ALVES DE ALMEIDA</t>
  </si>
  <si>
    <t>08/01/2025 16:25:31:258</t>
  </si>
  <si>
    <t>REJUNTE WEBER FLEXIVEL BEGE 1KG</t>
  </si>
  <si>
    <t>INTERSOLAR BRASIL LTDA</t>
  </si>
  <si>
    <t>15/01/2025 09:22:38:373</t>
  </si>
  <si>
    <t>ARGAMASSA WEBER AC2 EXTERNO 20KG</t>
  </si>
  <si>
    <t>JACKSON DOUGLAS REGO CACHIADO</t>
  </si>
  <si>
    <t>15/01/2025 11:19:31:937</t>
  </si>
  <si>
    <t>ARGAMASSA SIKA PORCELANATO GRES 20KG</t>
  </si>
  <si>
    <t>ADONIAS DA SILVA GABRIEL</t>
  </si>
  <si>
    <t>05/02/2025 17:03:15:737</t>
  </si>
  <si>
    <t>ARGAMASSA WEBER PORCE S/PISO INT CZ 20KG</t>
  </si>
  <si>
    <t>REJUNTE WEBER PMG PRETO GRAFITE 1KG</t>
  </si>
  <si>
    <t>SIDNEY WILLEI DA SILVA OLIVEIRA</t>
  </si>
  <si>
    <t>12/02/2025 12:30:26:943</t>
  </si>
  <si>
    <t>ARGAMASSA WEBER AC1 20KG</t>
  </si>
  <si>
    <t>EUDO DA SILVA SOARES</t>
  </si>
  <si>
    <t>12/02/2025 15:12:17:874</t>
  </si>
  <si>
    <t>REJUNTE WEBER PMG BRANCO 1KG</t>
  </si>
  <si>
    <t>JANNAIRA LEAL PARACAT LUCENA</t>
  </si>
  <si>
    <t>18/02/2025 09:35:04:48</t>
  </si>
  <si>
    <t>PORCE 60X120 MUNARI CIMENTO AC ELIANE (1,44)</t>
  </si>
  <si>
    <t>HOSANAN NELES CARNEIRO</t>
  </si>
  <si>
    <t>19/02/2025 12:14:22:052</t>
  </si>
  <si>
    <t>TINTA SV TOQ LUZ *C2* 3,2 E2-CAVIAR R398</t>
  </si>
  <si>
    <t>TINTA SV5 TOQ LUZ  ILUMINA *B2* 16,0 E2-MANGANÊS D398</t>
  </si>
  <si>
    <t>CREOCELIA DE JESUS SOUSA</t>
  </si>
  <si>
    <t>REJUNTE WEBER FLEXIVEL BRANCO 1KG</t>
  </si>
  <si>
    <t>FRANCISCO DE SOUSA MOURA JUNIOR</t>
  </si>
  <si>
    <t>21/02/2025 12:24:11:526</t>
  </si>
  <si>
    <t>ARGAMASSA RORAIMASSA AC1 20KG</t>
  </si>
  <si>
    <t>ROGERIO JOSE</t>
  </si>
  <si>
    <t>25/02/2025 12:47:43:372</t>
  </si>
  <si>
    <t>ARGAMASSA WEBER AC3 CINZA 20KG</t>
  </si>
  <si>
    <t>ANGEL CAROLAINE MAIA MENENZES</t>
  </si>
  <si>
    <t>26/02/2025 12:54:15:522</t>
  </si>
  <si>
    <t>PISO 44X44 LF44494 ARENITO GRIS LEF (2,50)LE-V1-1F</t>
  </si>
  <si>
    <t>ALAN DOUGLAS KOXHINSKI DE MENDEIROS</t>
  </si>
  <si>
    <t>06/03/2025 17:29:54:652</t>
  </si>
  <si>
    <t>RONALDO DE JESUS VELOSO</t>
  </si>
  <si>
    <t>NICHO 50X30 PORCELANATO BV PISOS</t>
  </si>
  <si>
    <t>R S N LIMA LTDA</t>
  </si>
  <si>
    <t>CUBA APOIO QUAD SOTTILE PTO FO CSQ2 JAPI</t>
  </si>
  <si>
    <t>REINALDO DE OLIVEIRA ALVES</t>
  </si>
  <si>
    <t>MASSA CORRIDA SUVINIL 5,7KG (BP)</t>
  </si>
  <si>
    <t>MARCIO DIAS BARBOSA</t>
  </si>
  <si>
    <t>19/03/2025 13:44:00:218</t>
  </si>
  <si>
    <t>GELSIVAN DOS SANTOS</t>
  </si>
  <si>
    <t>21/03/2025 15:31:13:86</t>
  </si>
  <si>
    <t>JEREDIEL DOS SANTOS SILVA</t>
  </si>
  <si>
    <t>24/03/2025 08:15:23:157</t>
  </si>
  <si>
    <t>REJUNTE WEBER PMG CINZA PLATINA 1KG</t>
  </si>
  <si>
    <t>UELITON PERREIRA FELIX</t>
  </si>
  <si>
    <t>24/03/2025 10:42:06:641</t>
  </si>
  <si>
    <t>ARGAMASSA RORAIMASSA AC2 20KG</t>
  </si>
  <si>
    <t>LETYICIA COELHA</t>
  </si>
  <si>
    <t>25/03/2025 11:42:22:505</t>
  </si>
  <si>
    <t>CLISTENES AUGUSTO MONTENEGRO</t>
  </si>
  <si>
    <t>25/03/2025 16:31:25:985</t>
  </si>
  <si>
    <t>PORCE 20X120 LEGNO MASO EXT BIANCOGRES (1,70)</t>
  </si>
  <si>
    <t>LARA DE OLIVEIRA</t>
  </si>
  <si>
    <t>25/03/2025 17:04:11:475</t>
  </si>
  <si>
    <t>MARIA SILVANA RODRIGUES CABRAL</t>
  </si>
  <si>
    <t>26/03/2025 10:26:11:93</t>
  </si>
  <si>
    <t>JOSE ROBERTO RIBEIRO DOS SANTOS</t>
  </si>
  <si>
    <t>26/03/2025 12:05:54:794</t>
  </si>
  <si>
    <t>REJUNTE WEBER PMG CAIRO 1KG</t>
  </si>
  <si>
    <t>ROSIE ELVIRA PALACIOS</t>
  </si>
  <si>
    <t>TINTA GLASU FO MUDA FACIL GELO 18L (LF)</t>
  </si>
  <si>
    <t>WENDEL MONTELES RODRIGUES</t>
  </si>
  <si>
    <t>28/03/2025 11:39:26:206</t>
  </si>
  <si>
    <t>ROSHAN ALI</t>
  </si>
  <si>
    <t>28/03/2025 17:56:34:1</t>
  </si>
  <si>
    <t>BANHEIRA HIDRO ESPARTA HE108WC*BR ASTRA</t>
  </si>
  <si>
    <t>28/03/2025 17:57:51:976</t>
  </si>
  <si>
    <t>BANHEIRA HIDRO SEREN MAGGIORE H228WC*BR ASTRA</t>
  </si>
  <si>
    <t>EDVAN RODRIGUES SILVA</t>
  </si>
  <si>
    <t>02/04/2025 08:03:35:847</t>
  </si>
  <si>
    <t>DAMASIO CARNERO LARANJEIRA</t>
  </si>
  <si>
    <t>04/04/2025 09:58:58:12</t>
  </si>
  <si>
    <t>REJUNTE WEBER PMG MARROM CANELA 1KG</t>
  </si>
  <si>
    <t>ELEILSON MESTRE BRAGA</t>
  </si>
  <si>
    <t>09/04/2025 08:32:31:8</t>
  </si>
  <si>
    <t>AIRTON DE MEDEIROS SANTOS</t>
  </si>
  <si>
    <t>09/04/2025 15:02:52:805</t>
  </si>
  <si>
    <t>REJUNTE WEBER FLEXIVEL CINZA ARTICO 1KG</t>
  </si>
  <si>
    <t>ROGERIO OLIVEIRA SILVA</t>
  </si>
  <si>
    <t>10/04/2025 10:31:53:252</t>
  </si>
  <si>
    <t>COSMO DA SILVA ROSA</t>
  </si>
  <si>
    <t>14/04/2025 09:24:16:812</t>
  </si>
  <si>
    <t>REJUNTE WEBER FLEXIVEL PRETO GRAFITE 1KG</t>
  </si>
  <si>
    <t>RONALDO DOS SANTOS MACHADO</t>
  </si>
  <si>
    <t>15/04/2025 11:43:18:406</t>
  </si>
  <si>
    <t>ARGAMASSA RORAIMASSA AC3 20KG</t>
  </si>
  <si>
    <t>LUCIANO ROSENO MONTEIRO</t>
  </si>
  <si>
    <t>16/04/2025 08:51:53:144</t>
  </si>
  <si>
    <t>PISO 44X44 LF44172 ROMA CINZA GOT LEF (2,50)LE-V1-1F</t>
  </si>
  <si>
    <t>GISSELY NASCIMENTO</t>
  </si>
  <si>
    <t>16/04/2025 11:12:57:339</t>
  </si>
  <si>
    <t>ARGAMASSA SIKA AC1 BASIC 20KG</t>
  </si>
  <si>
    <t>16/04/2025 11:41:36:829</t>
  </si>
  <si>
    <t>PORCE 60X120 ROYAL BLACK SATIN  BIANCOGRES</t>
  </si>
  <si>
    <t>16/04/2025 11:41:59:654</t>
  </si>
  <si>
    <t>PORCE 60X120 TRAVERTINO NAVONA SATIN BIANCOGRES (2,20)LE-V3</t>
  </si>
  <si>
    <t>ANA PAULA DE AGUIAR</t>
  </si>
  <si>
    <t>16/04/2025 14:13:50:005</t>
  </si>
  <si>
    <t>ROSITA DE MORAIS LIMA</t>
  </si>
  <si>
    <t>16/04/2025 17:30:21:494</t>
  </si>
  <si>
    <t>PORCE 100X100 BROOKLYN GREY SATIN BIANCOGRES (3,00)</t>
  </si>
  <si>
    <t>JOCIELE SANTOS SILVA</t>
  </si>
  <si>
    <t>17/04/2025 10:50:44:134</t>
  </si>
  <si>
    <t>17/04/2025 16:20:32:259</t>
  </si>
  <si>
    <t>LUCI CLEONICE SABKA</t>
  </si>
  <si>
    <t>18/04/2025 09:59:17:99</t>
  </si>
  <si>
    <t>JOSE GLEIDSON QUEIROZ</t>
  </si>
  <si>
    <t>22/04/2025 10:30:46:171</t>
  </si>
  <si>
    <t>MAXNORTE ADMINISTRADORA DE BENS LTDA</t>
  </si>
  <si>
    <t>ESCOVA REANGULAR 1199-02 TIGRE</t>
  </si>
  <si>
    <t>ABEL 99170-0020</t>
  </si>
  <si>
    <t>23/04/2025 14:46:28:718</t>
  </si>
  <si>
    <t>WENDEL ALVES LOPES</t>
  </si>
  <si>
    <t>30/04/2025 09:29:32:254</t>
  </si>
  <si>
    <t>PISO 57X57 CLEAN CECAFI (2,59)</t>
  </si>
  <si>
    <t>HANDRIAN VITORIA DA SILVA CARNEIRO</t>
  </si>
  <si>
    <t>02/05/2025 11:28:17:087</t>
  </si>
  <si>
    <t>PISO 86X86 PHD86090R URANO AC INOUT (2,21)LC-V4-6F</t>
  </si>
  <si>
    <t>RONEANDERSON BORGES DE SOUSA</t>
  </si>
  <si>
    <t>06/05/2025 17:31:03:77</t>
  </si>
  <si>
    <t>EDMILSON PEREIRA DA SILVA JUNIOR</t>
  </si>
  <si>
    <t>07/05/2025 08:56:10:176</t>
  </si>
  <si>
    <t>ESPACADOR/NIVELADOR 1,5MM CORTAG 60692</t>
  </si>
  <si>
    <t>EMILIA MARIA FREITAS ALEXANDRINO</t>
  </si>
  <si>
    <t>07/05/2025 10:18:47:57</t>
  </si>
  <si>
    <t>PISO 54X54 RIVIERA BRANCO BR ARIELLE (2,62)LCI-V1-1F</t>
  </si>
  <si>
    <t>MARIA POLIANA DE ARRUDA</t>
  </si>
  <si>
    <t>07/05/2025 10:49:37:402</t>
  </si>
  <si>
    <t>REJUNTE WEBER PMG VERDE FLORESTA 1KG</t>
  </si>
  <si>
    <t>ALCIDES CONCEICAO</t>
  </si>
  <si>
    <t>07/05/2025 15:16:53:172</t>
  </si>
  <si>
    <t>CARLOS JAVIER CORTEZ SALCEDO</t>
  </si>
  <si>
    <t>08/05/2025 09:51:26:849</t>
  </si>
  <si>
    <t>ERITON NICACIO PINHEIRO</t>
  </si>
  <si>
    <t>08/05/2025 11:03:11:395</t>
  </si>
  <si>
    <t>FLAVIO MARTINS DE SOUZA</t>
  </si>
  <si>
    <t>13/05/2025 08:10:46:722</t>
  </si>
  <si>
    <t>REJUNTE WEBER PISCINAS VERDE FLORESTA 5KG</t>
  </si>
  <si>
    <t>GABRIELLY LIZZIE  OLIVEIRA FIGUEIREDO</t>
  </si>
  <si>
    <t>13/05/2025 08:16:53:328</t>
  </si>
  <si>
    <t>DANIELE SANTOS DE LIMA</t>
  </si>
  <si>
    <t>14/05/2025 09:20:02:37</t>
  </si>
  <si>
    <t>REJUNTE WEBER FLEXIVEL CORDA 1KG</t>
  </si>
  <si>
    <t>MARIA DE JESUS OLIVEIRA</t>
  </si>
  <si>
    <t>14/05/2025 11:09:00:811</t>
  </si>
  <si>
    <t>PISO 45X45 RENDA BRANCO FORMIGRES (2,00)PEI.3-1F</t>
  </si>
  <si>
    <t>LUIZ RODRIGUES</t>
  </si>
  <si>
    <t>15/05/2025 15:53:19:822</t>
  </si>
  <si>
    <t>ELIZANGELA BARBOSA MACHADO</t>
  </si>
  <si>
    <t>16/05/2025 09:37:30:043</t>
  </si>
  <si>
    <t>PORCE 70X70 ICARO PO CERBRAS (2,00)</t>
  </si>
  <si>
    <t>LUCAS LEITAO COELHO</t>
  </si>
  <si>
    <t>16/05/2025 11:30:59:203</t>
  </si>
  <si>
    <t>MARIA RITA LEITE GUIMARAES</t>
  </si>
  <si>
    <t>21/05/2025 09:51:54:941</t>
  </si>
  <si>
    <t>PISO 58X58 PSI66000 INCENOR (2,68)</t>
  </si>
  <si>
    <t>JOSE COSME DA SILVA FILHO</t>
  </si>
  <si>
    <t>21/05/2025 11:57:15:369</t>
  </si>
  <si>
    <t>FRANCISCO SEVERINO COSTA BEZERRA</t>
  </si>
  <si>
    <t>22/05/2025 14:19:49:203</t>
  </si>
  <si>
    <t>MARLENE DE LURDES</t>
  </si>
  <si>
    <t>23/05/2025 16:12:34:714</t>
  </si>
  <si>
    <t>REJUNTE WEBER FLEXIVEL CINZA PLATINA 1KG</t>
  </si>
  <si>
    <t>FRANCISCO ANTONIO B SOUSA</t>
  </si>
  <si>
    <t>23/05/2025 16:26:46:789</t>
  </si>
  <si>
    <t>JOAQUIM TOMAZ ABREL</t>
  </si>
  <si>
    <t>27/05/2025 09:57:38:187</t>
  </si>
  <si>
    <t>SONIVALDO BEZERRA DA SILVA</t>
  </si>
  <si>
    <t>27/05/2025 11:38:03:531</t>
  </si>
  <si>
    <t>CARLOS JOSE LUNA DOS SANTOS</t>
  </si>
  <si>
    <t>REJUNTE WEBER PMG BEGE 1KG</t>
  </si>
  <si>
    <t>PABLO PINTO DA SILVA</t>
  </si>
  <si>
    <t>03/06/2025 11:07:46:063</t>
  </si>
  <si>
    <t>JORGE FERNANDO DA SILVA SANTOS</t>
  </si>
  <si>
    <t>04/06/2025 11:57:34:709</t>
  </si>
  <si>
    <t>CLESTIANE DIAS ARAUJO</t>
  </si>
  <si>
    <t>04/06/2025 12:14:08:215</t>
  </si>
  <si>
    <t>REVEST 32,5X57 RVI57130 INCENOR (2,21)</t>
  </si>
  <si>
    <t>FABIO RODRIGUES SOBRINHO</t>
  </si>
  <si>
    <t>04/06/2025 15:04:30:696</t>
  </si>
  <si>
    <t>BEATRIZ DELSE MONTANHY</t>
  </si>
  <si>
    <t>05/06/2025 10:00:20:078</t>
  </si>
  <si>
    <t>PISO 61X61 BRANCO 61 FORMIGRES (2,23) PEI.4-1F</t>
  </si>
  <si>
    <t>CELSON ROBERTO CARVALHO MEIRELES</t>
  </si>
  <si>
    <t>05/06/2025 11:03:50:791</t>
  </si>
  <si>
    <t>ANTONIO BARBOSA LIMA</t>
  </si>
  <si>
    <t>06/06/2025 10:10:11:983</t>
  </si>
  <si>
    <t>ANTONIA ALRILANDIA FREITAS</t>
  </si>
  <si>
    <t>11/06/2025 08:24:30:501</t>
  </si>
  <si>
    <t>CLEILTON NASCIMENTO DA SILVA</t>
  </si>
  <si>
    <t>12/06/2025 08:40:28:359</t>
  </si>
  <si>
    <t>ARGAMASSA SIKA AC3 PERFORMANCE CINZA 20KG</t>
  </si>
  <si>
    <t>LORRAYNY CRISTINA DE SOUSA MOURAES</t>
  </si>
  <si>
    <t>12/06/2025 11:11:44:803</t>
  </si>
  <si>
    <t>MARIA REGINA PERREIRA DA SILVA</t>
  </si>
  <si>
    <t>16/06/2025 11:21:42:037</t>
  </si>
  <si>
    <t>EDESON RODRIGO GUEDES SILVA CRUZ</t>
  </si>
  <si>
    <t>16/06/2025 11:37:32:218</t>
  </si>
  <si>
    <t>ALTEMAR RIOS DA SILVA</t>
  </si>
  <si>
    <t>18/06/2025 16:13:12:264</t>
  </si>
  <si>
    <t>PISO 54X54 FREMONT BR ARIELLE (2,62) (FORA LINHA)</t>
  </si>
  <si>
    <t>RODRIGO MACIEL</t>
  </si>
  <si>
    <t>18/06/2025 16:32:28:421</t>
  </si>
  <si>
    <t>REVEST 32,5X57 RVI57150 INCENOR (2,21)</t>
  </si>
  <si>
    <t>JOSE RIBAMAR SILVA FILHO</t>
  </si>
  <si>
    <t>19/06/2025 08:22:54:104</t>
  </si>
  <si>
    <t>PISO 58X58 PSI66460 INCENOR (2,68)</t>
  </si>
  <si>
    <t>JOHNY SILVA CRUZ</t>
  </si>
  <si>
    <t>20/06/2025 10:54:14:479</t>
  </si>
  <si>
    <t>PISO 57X57 NEVE CERBRAS (2,62) PEI-5</t>
  </si>
  <si>
    <t>AIRTON PEREIRA LIMA</t>
  </si>
  <si>
    <t>IDELANDIA PEREIRA SILVA</t>
  </si>
  <si>
    <t>23/06/2025 17:23:58:343</t>
  </si>
  <si>
    <t>FRANCISCO DE CASTRO REIS</t>
  </si>
  <si>
    <t>24/06/2025 08:58:48:337</t>
  </si>
  <si>
    <t>RAIMUNDA EVA PEREIRA DOS REIS</t>
  </si>
  <si>
    <t>25/06/2025 08:30:50:551</t>
  </si>
  <si>
    <t>AGUARRAS 0,9L SUVINIL 53447358</t>
  </si>
  <si>
    <t>IRACY PEREIRA DE AMORIN</t>
  </si>
  <si>
    <t>25/06/2025 12:29:39:772</t>
  </si>
  <si>
    <t>PISO 58X58 PSI66970 INCENOR (2,68)</t>
  </si>
  <si>
    <t>PAULO FARIAS</t>
  </si>
  <si>
    <t>25/06/2025 12:42:58:134</t>
  </si>
  <si>
    <t>JOSEMAR MENDES DO NASCIMENTO</t>
  </si>
  <si>
    <t>25/06/2025 13:09:55:184</t>
  </si>
  <si>
    <t>REGINALDO BATISTA DE OLIVEIRA 05245995999</t>
  </si>
  <si>
    <t>26/06/2025 11:22:08:318</t>
  </si>
  <si>
    <t>CANALETA 2,5X15 ATOL TURQUESA E MA DECORTILES (PC)</t>
  </si>
  <si>
    <t>CECI DE ANDRADE RODRIGUES</t>
  </si>
  <si>
    <t>26/06/2025 12:06:20:85</t>
  </si>
  <si>
    <t>TINTA SV5 TOQ SEDA *A2* 16,0 E2-GELO RM012</t>
  </si>
  <si>
    <t>ELIZANGELA BARROS DE ANDRADE</t>
  </si>
  <si>
    <t>27/06/2025 15:37:30:247</t>
  </si>
  <si>
    <t>PISO 45X45 ALLURE PT FORMIGRES (2,00)PEI.2-1F</t>
  </si>
  <si>
    <t>ALCINEDE FEITOSA DOS SANTOS YANO</t>
  </si>
  <si>
    <t>30/06/2025 15:54:37:56</t>
  </si>
  <si>
    <t>PORCE 26X106 LEGNO MASO EXT BIANCOGRES (2,00)</t>
  </si>
  <si>
    <t>PAMELA HORRANA DA SILVA COELHO</t>
  </si>
  <si>
    <t>A P DE C BARROS E CIA LTDA</t>
  </si>
  <si>
    <t>KIT COMPLETO AXIS TOTAL PLUS KP470017 DECA</t>
  </si>
  <si>
    <t>CARLOS RONALD NASCIMENTO TRINDADE</t>
  </si>
  <si>
    <t>02/07/2025 08:58:52:419</t>
  </si>
  <si>
    <t>REJUNTE WEBER PMG CORDA 1KG</t>
  </si>
  <si>
    <t>CLEUDINAR PEREIRA ALENCA</t>
  </si>
  <si>
    <t>02/07/2025 09:32:42:463</t>
  </si>
  <si>
    <t>PISO 61X61 EVIDENCE CZ FORMIGRES (2,23)PEI.5-3F</t>
  </si>
  <si>
    <t>KEISON SOUZA DOS SANTOS</t>
  </si>
  <si>
    <t>02/07/2025 10:36:22:343</t>
  </si>
  <si>
    <t>PORCE 58X58 PTG58520R SAO TOME GR TECNOGRES(2,03)  LU-V4-4F</t>
  </si>
  <si>
    <t>ROSANGELA FERREIRA SILVA</t>
  </si>
  <si>
    <t>PORCE 70X70 TECHNATTO WHITE MATTE CERBRAS (2,00)</t>
  </si>
  <si>
    <t>BOX  GRILL IND &amp; COM LTDA</t>
  </si>
  <si>
    <t>TINTA SUVINIL PISO CONCRETO PURO 18L 50520000</t>
  </si>
  <si>
    <t>RAIMUNDA GONZAGA DA SILVA</t>
  </si>
  <si>
    <t>08/07/2025 11:57:49:572</t>
  </si>
  <si>
    <t>PISO 45X45 ZAIRE FORMIGRES (2,00)PEI.4-1F 3</t>
  </si>
  <si>
    <t>09/07/2025 16:08:46:4</t>
  </si>
  <si>
    <t>LEONARDO ALVES MARIANO</t>
  </si>
  <si>
    <t>09/07/2025 16:23:14:856</t>
  </si>
  <si>
    <t>RONILSON CARVALHO</t>
  </si>
  <si>
    <t>09/07/2025 16:53:00:93</t>
  </si>
  <si>
    <t>WIVIA TEXEIRA DE ARAUJO</t>
  </si>
  <si>
    <t>10/07/2025 09:11:09:585</t>
  </si>
  <si>
    <t>MAGDIEL STERFANO VERA COELHO PIRES</t>
  </si>
  <si>
    <t>10/07/2025 18:08:26:683</t>
  </si>
  <si>
    <t>ATLAS ENGENHARIA LTDA</t>
  </si>
  <si>
    <t>11/07/2025 09:40:00:041</t>
  </si>
  <si>
    <t>ROXANA LARRAÑAGA</t>
  </si>
  <si>
    <t>11/07/2025 16:35:11:292</t>
  </si>
  <si>
    <t>PISO 81X81 LOMBARDIA BEGE GOT FORMIGRES (1,97)</t>
  </si>
  <si>
    <t>FRANCISCO MONTEIRO DE SOUSA FILHO</t>
  </si>
  <si>
    <t>15/07/2025 16:35:48:815</t>
  </si>
  <si>
    <t>PISO 67X67 RET GERANIO LUX ARIELLE (2,71) (FORA LINHA)</t>
  </si>
  <si>
    <t>MARIA DO SOCORRO PAIXAO FARIAS</t>
  </si>
  <si>
    <t>16/07/2025 09:33:05:061</t>
  </si>
  <si>
    <t>DARWIN ABRAHAM EDUARDO BRITO BOLIVA</t>
  </si>
  <si>
    <t>18/07/2025 11:18:29:038</t>
  </si>
  <si>
    <t>PORCE 58,4X117 OPERA WH PO PORTINARI (1,37)LD-V3-7F</t>
  </si>
  <si>
    <t>RAIMUNDA ALVES FERNANDES QUEIROZ</t>
  </si>
  <si>
    <t>18/07/2025 11:27:38:249</t>
  </si>
  <si>
    <t>ALICE PEREIRA DA SILVA</t>
  </si>
  <si>
    <t>21/07/2025 10:16:17:577</t>
  </si>
  <si>
    <t>PISO 46X46 IPANEMA BEGE CERBRAS (2,30)</t>
  </si>
  <si>
    <t>ANDRELINA DE ARAUJO FAVELA</t>
  </si>
  <si>
    <t>21/07/2025 12:06:11:5</t>
  </si>
  <si>
    <t>MASSA ACRILICA 25KG SUVINIL 50687486</t>
  </si>
  <si>
    <t>CARLOS NETO OLIVEIRA DE SOUSA</t>
  </si>
  <si>
    <t>23/07/2025 11:51:22:16</t>
  </si>
  <si>
    <t>PISO 46X46 MANAUS CINZA CERBRAS (2,30)PEI.4-V2-1F</t>
  </si>
  <si>
    <t>GRACILEIA SANTANA</t>
  </si>
  <si>
    <t>30/07/2025 13:07:15:675</t>
  </si>
  <si>
    <t>CUBA EMB PERFECTA PO 47X30 94052/407 TRAMONTINA</t>
  </si>
  <si>
    <t>CARMEN DA COSTA VAZ</t>
  </si>
  <si>
    <t>30/07/2025 16:04:51:411</t>
  </si>
  <si>
    <t>PISO 54X54 OLIMPO AD ARIELLE (2,62)LE-V3-4F</t>
  </si>
  <si>
    <t>RAIMUNDO HENRIQUE BEZERRA</t>
  </si>
  <si>
    <t>31/07/2025 11:38:28:655</t>
  </si>
  <si>
    <t>PISO 60X120 GRAN IMPERIUM DARK  FORMIGRES (2,16) LB-V3-4F</t>
  </si>
  <si>
    <t>PORCE 90X90 AGRA GIZ POL DECORTILES (2,43)</t>
  </si>
  <si>
    <t>US SANTOS EIRELLI</t>
  </si>
  <si>
    <t>01/08/2025 11:06:01:599</t>
  </si>
  <si>
    <t>CRISTINA FRANÇA DE ALMEIDA</t>
  </si>
  <si>
    <t>05/08/2025 12:32:35:837</t>
  </si>
  <si>
    <t>PORCE 76X76 PPO76320R TRAJETORIA TECNOGRES (2,31)LI-V3-4F</t>
  </si>
  <si>
    <t>ALINE MONTEIRO DE MACEDO LIRA</t>
  </si>
  <si>
    <t>06/08/2025 11:16:23:521</t>
  </si>
  <si>
    <t>PISO 63X63 PSI63800R INCENOR (2,79)</t>
  </si>
  <si>
    <t>FRANCISCO EDIMILSON ALVES</t>
  </si>
  <si>
    <t>06/08/2025 13:06:33:476</t>
  </si>
  <si>
    <t>TINTA SV TOQ LUZ *A2* 0,8 E2-DENTE-DE-LEÃO A018</t>
  </si>
  <si>
    <t>ROSA MARIAFERREIRA SA</t>
  </si>
  <si>
    <t>06/08/2025 13:12:14:107</t>
  </si>
  <si>
    <t>ARGAMASSA WEBER COZINHAS/BANHEIROS 20KG</t>
  </si>
  <si>
    <t>EMERSON 99121-2593</t>
  </si>
  <si>
    <t>06/08/2025 15:59:34:108</t>
  </si>
  <si>
    <t>SELANTE PU40 PRETO 360G WEBER</t>
  </si>
  <si>
    <t>JONISSON GOLZAGA</t>
  </si>
  <si>
    <t>CLEUDIMAR DE SOUZA FONTORA</t>
  </si>
  <si>
    <t>07/08/2025 09:36:17:988</t>
  </si>
  <si>
    <t>REVEST 32X66 AVOLIO PO FORMIGRES (1,69)</t>
  </si>
  <si>
    <t>LUCAS ARAUJO LOURETO FORTE</t>
  </si>
  <si>
    <t>11/08/2025 12:00:48:05</t>
  </si>
  <si>
    <t>SIFAO SANFONADO SSUM-BR1 ASTRA UNIV</t>
  </si>
  <si>
    <t>FERNANDA DE ARAUJO MACHADO</t>
  </si>
  <si>
    <t>13/08/2025 17:39:17:916</t>
  </si>
  <si>
    <t>PISO 58X58 PSI66470 INCENOR (2,68)</t>
  </si>
  <si>
    <t>FRANKER WENDELL</t>
  </si>
  <si>
    <t>14/08/2025 11:06:00:479</t>
  </si>
  <si>
    <t>REJUNTE WEBER PMG CINZA OUTONO 1KG</t>
  </si>
  <si>
    <t>14/08/2025 17:29:28:135</t>
  </si>
  <si>
    <t>JOEL PERLEY PEIXOTO HABERTE</t>
  </si>
  <si>
    <t>15/08/2025 11:40:20:539</t>
  </si>
  <si>
    <t>PISO 58X58 PSI66210 INCENOR (2,68)</t>
  </si>
  <si>
    <t>PISO 67X67 RET RIVIERA BRANCO BR ARIELLE (2,71) LC-V1-F1</t>
  </si>
  <si>
    <t>REVEST 37X59 BALI BEIGE ARIELLE (2,43)LA-V2-4F</t>
  </si>
  <si>
    <t>18/08/2025 09:44:19:589</t>
  </si>
  <si>
    <t>LIONETE NUNES DE ANDRADE</t>
  </si>
  <si>
    <t>18/08/2025 12:04:09:804</t>
  </si>
  <si>
    <t>DARKSON FRABICIO CARVALHO SRAIVA</t>
  </si>
  <si>
    <t>20/08/2025 06:08:46:031</t>
  </si>
  <si>
    <t>JESIANE MATOS DE SOUZA</t>
  </si>
  <si>
    <t>20/08/2025 09:52:59:604</t>
  </si>
  <si>
    <t>CRISTIANE PEREIRA DE SOUZA</t>
  </si>
  <si>
    <t>DANIEL MOZART DE SOUZA FEREIRA</t>
  </si>
  <si>
    <t>JAMILA LEAL FELOL</t>
  </si>
  <si>
    <t>REVEST 32,5X57 RVI57060 INCENOR (2,21)</t>
  </si>
  <si>
    <t>JOAO MARCERONE CARDOSO SOUSA</t>
  </si>
  <si>
    <t>22/08/2025 16:38:36:315</t>
  </si>
  <si>
    <t>ANA FLAVIA BEZERRA SANTOS SILVA</t>
  </si>
  <si>
    <t>TINTA SV GLASU BRILHO PRÁTICO *A2* 16,0 E2-ANDIROBA C373</t>
  </si>
  <si>
    <t>TINTA SV GLASU BRILHO PRÁTICO *A2* 16,0 E2-PISTACHE D311</t>
  </si>
  <si>
    <t>AIRTON DUTRA PERREIRA</t>
  </si>
  <si>
    <t>PISO 50X50 MALBEC FORMIGRES (2,50)PEI.4-1F</t>
  </si>
  <si>
    <t>REJUNTE WEBER FLEXIVEL MARROM CAFE 1KG</t>
  </si>
  <si>
    <t>JERUSA CHAGAS PITER</t>
  </si>
  <si>
    <t>PISO 54X54 LOGAN ARIELLE (2,62)LD-V2-1F</t>
  </si>
  <si>
    <t>REJUNTE WEBER FLEXIVEL PALHA 1KG</t>
  </si>
  <si>
    <t>REVEST 37X59 FLORIDA CLEAN BR ARIELLE (2,43)LA-V2-1F</t>
  </si>
  <si>
    <t>GILVANE PEREIRA ROZA</t>
  </si>
  <si>
    <t>25/08/2025 10:09:08:369</t>
  </si>
  <si>
    <t>COLORANTE E-COLOR CB 0,9L SUVINIL 50397413</t>
  </si>
  <si>
    <t>COLORANTE E-COLOR RI 0,9L SUVINIL 50397426</t>
  </si>
  <si>
    <t>A. P. DE C. BARROS E CIA LTDA</t>
  </si>
  <si>
    <t>25/08/2025 11:36:38:285</t>
  </si>
  <si>
    <t>KIT COMPLETO AXIS KP47017 DECA</t>
  </si>
  <si>
    <t>data</t>
  </si>
  <si>
    <t>mesano</t>
  </si>
  <si>
    <t>Rótulos de Linha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</si>
  <si>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</si>
  <si>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</si>
  <si>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</si>
  <si>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</si>
  <si>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</si>
  <si>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</si>
  <si>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</si>
  <si>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</si>
  <si>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Total Geral</t>
  </si>
  <si>
    <t>Soma de qtdretirada</t>
  </si>
  <si>
    <t>Soma de valpendente</t>
  </si>
  <si>
    <t>Contagem de qtdcomprada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</si>
</sst>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mm/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8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25">
    <dxf>
      <numFmt numFmtId="6" formatCode="#,##0;[Red]\-#,##0"/>
    </dxf>
    <dxf>
      <numFmt numFmtId="34" formatCode="_-&quot;R$&quot;\ * #,##0.00_-;\-&quot;R$&quot;\ * #,##0.00_-;_-&quot;R$&quot;\ * &quot;-&quot;??_-;_-@_-"/>
    </dxf>
    <dxf>
      <numFmt numFmtId="6" formatCode="#,##0;[Red]\-#,##0"/>
    </dxf>
    <dxf>
      <numFmt numFmtId="34" formatCode="_-&quot;R$&quot;\ * #,##0.00_-;\-&quot;R$&quot;\ * #,##0.00_-;_-&quot;R$&quot;\ * &quot;-&quot;??_-;_-@_-"/>
    </dxf>
    <dxf>
      <numFmt numFmtId="6" formatCode="#,##0;[Red]\-#,##0"/>
    </dxf>
    <dxf>
      <numFmt numFmtId="34" formatCode="_-&quot;R$&quot;\ * #,##0.00_-;\-&quot;R$&quot;\ * #,##0.00_-;_-&quot;R$&quot;\ * &quot;-&quot;??_-;_-@_-"/>
    </dxf>
    <dxf>
      <numFmt numFmtId="6" formatCode="#,##0;[Red]\-#,##0"/>
    </dxf>
    <dxf>
      <numFmt numFmtId="34" formatCode="_-&quot;R$&quot;\ * #,##0.00_-;\-&quot;R$&quot;\ * #,##0.00_-;_-&quot;R$&quot;\ * &quot;-&quot;??_-;_-@_-"/>
    </dxf>
    <dxf>
      <numFmt numFmtId="6" formatCode="#,##0;[Red]\-#,##0"/>
    </dxf>
    <dxf>
      <numFmt numFmtId="34" formatCode="_-&quot;R$&quot;\ * #,##0.00_-;\-&quot;R$&quot;\ * #,##0.00_-;_-&quot;R$&quot;\ * &quot;-&quot;??_-;_-@_-"/>
    </dxf>
    <dxf>
      <numFmt numFmtId="6" formatCode="#,##0;[Red]\-#,##0"/>
    </dxf>
    <dxf>
      <numFmt numFmtId="34" formatCode="_-&quot;R$&quot;\ * #,##0.00_-;\-&quot;R$&quot;\ * #,##0.00_-;_-&quot;R$&quot;\ * &quot;-&quot;??_-;_-@_-"/>
    </dxf>
    <dxf>
      <numFmt numFmtId="6" formatCode="#,##0;[Red]\-#,##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6" formatCode="#,##0;[Red]\-#,##0"/>
    </dxf>
    <dxf>
      <numFmt numFmtId="5" formatCode="#,##0;\-#,##0"/>
    </dxf>
    <dxf>
      <numFmt numFmtId="6" formatCode="#,##0;[Red]\-#,##0"/>
    </dxf>
    <dxf>
      <numFmt numFmtId="5" formatCode="#,##0;\-#,##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Almeida" refreshedDate="45894.381975694443" createdVersion="8" refreshedVersion="8" minRefreshableVersion="3" recordCount="193" xr:uid="{63844A0D-DB64-4DF8-8445-8EF4F9BCC7CE}">
  <cacheSource type="worksheet">
    <worksheetSource ref="A1:M194" sheet="Planilha2"/>
  </cacheSource>
  <cacheFields count="13">
    <cacheField name="idclifor" numFmtId="0">
      <sharedItems containsSemiMixedTypes="0" containsString="0" containsNumber="1" containsInteger="1" minValue="1" maxValue="1050128"/>
    </cacheField>
    <cacheField name="nome" numFmtId="0">
      <sharedItems/>
    </cacheField>
    <cacheField name="dtpreventrega" numFmtId="0">
      <sharedItems containsDate="1" containsMixedTypes="1" minDate="2025-02-19T14:00:00" maxDate="2025-08-25T08:40:19"/>
    </cacheField>
    <cacheField name="Código Produto" numFmtId="0">
      <sharedItems containsSemiMixedTypes="0" containsString="0" containsNumber="1" containsInteger="1" minValue="37" maxValue="65033"/>
    </cacheField>
    <cacheField name="Descrição do Produto" numFmtId="0">
      <sharedItems/>
    </cacheField>
    <cacheField name="qtdcomprada" numFmtId="0">
      <sharedItems containsSemiMixedTypes="0" containsString="0" containsNumber="1" minValue="0.09" maxValue="81.400000000000006"/>
    </cacheField>
    <cacheField name="produto_retirar_saldos_view_saldo" numFmtId="0">
      <sharedItems containsSemiMixedTypes="0" containsString="0" containsNumber="1" minValue="0.09" maxValue="81.400000000000006"/>
    </cacheField>
    <cacheField name="politica_preco_produto_valor" numFmtId="0">
      <sharedItems containsSemiMixedTypes="0" containsString="0" containsNumber="1" minValue="8.9" maxValue="9249.9"/>
    </cacheField>
    <cacheField name="qtdretirada" numFmtId="0">
      <sharedItems containsSemiMixedTypes="0" containsString="0" containsNumber="1" containsInteger="1" minValue="0" maxValue="2"/>
    </cacheField>
    <cacheField name="valpendente" numFmtId="0">
      <sharedItems containsSemiMixedTypes="0" containsString="0" containsNumber="1" minValue="8.9" maxValue="15999.8"/>
    </cacheField>
    <cacheField name="valretirado" numFmtId="0">
      <sharedItems containsSemiMixedTypes="0" containsString="0" containsNumber="1" minValue="0" maxValue="53.8"/>
    </cacheField>
    <cacheField name="data" numFmtId="14">
      <sharedItems containsSemiMixedTypes="0" containsNonDate="0" containsDate="1" containsString="0" minDate="2025-01-03T00:00:00" maxDate="2025-08-26T00:00:00"/>
    </cacheField>
    <cacheField name="mesano" numFmtId="14">
      <sharedItems count="8">
        <s v="01/2025"/>
        <s v="02/2025"/>
        <s v="03/2025"/>
        <s v="04/2025"/>
        <s v="05/2025"/>
        <s v="06/2025"/>
        <s v="07/2025"/>
        <s v="08/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n v="18816"/>
    <s v="SIDMAR SOUSA"/>
    <s v="03/01/2025 11:53:17:243"/>
    <n v="901"/>
    <s v="ARGAMASSA WEBER PORCELANATO INT CZ 20KG"/>
    <n v="1"/>
    <n v="1"/>
    <n v="59.9"/>
    <n v="0"/>
    <n v="59.9"/>
    <n v="0"/>
    <d v="2025-01-03T00:00:00"/>
    <x v="0"/>
  </r>
  <r>
    <n v="1031058"/>
    <s v="LUCIELE FERREIRA DE SOUZA"/>
    <s v="07/01/2025 12:00:12:541"/>
    <n v="13984"/>
    <s v="MASSA CORRIDA 25KG SUVINIL 50687535"/>
    <n v="1"/>
    <n v="1"/>
    <n v="109.9"/>
    <n v="0"/>
    <n v="109.9"/>
    <n v="0"/>
    <d v="2025-01-07T00:00:00"/>
    <x v="0"/>
  </r>
  <r>
    <n v="1000849"/>
    <s v="JOSE HENRIQUE ALVES DE ALMEIDA"/>
    <s v="08/01/2025 16:25:31:258"/>
    <n v="77"/>
    <s v="REJUNTE WEBER FLEXIVEL BEGE 1KG"/>
    <n v="1"/>
    <n v="1"/>
    <n v="18.899999999999999"/>
    <n v="0"/>
    <n v="18.899999999999999"/>
    <n v="0"/>
    <d v="2025-01-08T00:00:00"/>
    <x v="0"/>
  </r>
  <r>
    <n v="1038360"/>
    <s v="INTERSOLAR BRASIL LTDA"/>
    <s v="15/01/2025 09:22:38:373"/>
    <n v="4857"/>
    <s v="ARGAMASSA WEBER AC2 EXTERNO 20KG"/>
    <n v="1"/>
    <n v="1"/>
    <n v="79.900000000000006"/>
    <n v="0"/>
    <n v="79.900000000000006"/>
    <n v="0"/>
    <d v="2025-01-15T00:00:00"/>
    <x v="0"/>
  </r>
  <r>
    <n v="1043874"/>
    <s v="JACKSON DOUGLAS REGO CACHIADO"/>
    <s v="15/01/2025 11:19:31:937"/>
    <n v="2851"/>
    <s v="ARGAMASSA SIKA PORCELANATO GRES 20KG"/>
    <n v="3"/>
    <n v="3"/>
    <n v="51.9"/>
    <n v="0"/>
    <n v="155.69999999999999"/>
    <n v="0"/>
    <d v="2025-01-15T00:00:00"/>
    <x v="0"/>
  </r>
  <r>
    <n v="1044900"/>
    <s v="ADONIAS DA SILVA GABRIEL"/>
    <s v="05/02/2025 17:03:15:737"/>
    <n v="2682"/>
    <s v="ARGAMASSA WEBER PORCE S/PISO INT CZ 20KG"/>
    <n v="2"/>
    <n v="2"/>
    <n v="82.9"/>
    <n v="0"/>
    <n v="165.8"/>
    <n v="0"/>
    <d v="2025-02-05T00:00:00"/>
    <x v="1"/>
  </r>
  <r>
    <n v="1044900"/>
    <s v="ADONIAS DA SILVA GABRIEL"/>
    <s v="05/02/2025 17:03:15:737"/>
    <n v="3875"/>
    <s v="REJUNTE WEBER PMG PRETO GRAFITE 1KG"/>
    <n v="1"/>
    <n v="1"/>
    <n v="26.9"/>
    <n v="0"/>
    <n v="26.9"/>
    <n v="0"/>
    <d v="2025-02-05T00:00:00"/>
    <x v="1"/>
  </r>
  <r>
    <n v="1007141"/>
    <s v="SIDNEY WILLEI DA SILVA OLIVEIRA"/>
    <s v="12/02/2025 12:30:26:943"/>
    <n v="41"/>
    <s v="ARGAMASSA WEBER AC1 20KG"/>
    <n v="3"/>
    <n v="3"/>
    <n v="43.9"/>
    <n v="0"/>
    <n v="131.69999999999999"/>
    <n v="0"/>
    <d v="2025-02-12T00:00:00"/>
    <x v="1"/>
  </r>
  <r>
    <n v="1004510"/>
    <s v="EUDO DA SILVA SOARES"/>
    <s v="12/02/2025 15:12:17:874"/>
    <n v="41"/>
    <s v="ARGAMASSA WEBER AC1 20KG"/>
    <n v="1"/>
    <n v="1"/>
    <n v="43.9"/>
    <n v="0"/>
    <n v="43.9"/>
    <n v="0"/>
    <d v="2025-02-12T00:00:00"/>
    <x v="1"/>
  </r>
  <r>
    <n v="1004510"/>
    <s v="EUDO DA SILVA SOARES"/>
    <s v="12/02/2025 15:12:17:874"/>
    <n v="1621"/>
    <s v="REJUNTE WEBER PMG BRANCO 1KG"/>
    <n v="2"/>
    <n v="2"/>
    <n v="26.9"/>
    <n v="0"/>
    <n v="53.8"/>
    <n v="0"/>
    <d v="2025-02-12T00:00:00"/>
    <x v="1"/>
  </r>
  <r>
    <n v="1006379"/>
    <s v="JANNAIRA LEAL PARACAT LUCENA"/>
    <s v="18/02/2025 09:35:04:48"/>
    <n v="50250"/>
    <s v="PORCE 60X120 MUNARI CIMENTO AC ELIANE (1,44)"/>
    <n v="2.88"/>
    <n v="2.88"/>
    <n v="144.9"/>
    <n v="0"/>
    <n v="417.31200000000001"/>
    <n v="0"/>
    <d v="2025-02-18T00:00:00"/>
    <x v="1"/>
  </r>
  <r>
    <n v="1045242"/>
    <s v="HOSANAN NELES CARNEIRO"/>
    <s v="19/02/2025 12:14:22:052"/>
    <n v="60121"/>
    <s v="TINTA SV TOQ LUZ *C2* 3,2 E2-CAVIAR R398"/>
    <n v="1"/>
    <n v="1"/>
    <n v="227.31"/>
    <n v="0"/>
    <n v="227.31"/>
    <n v="0"/>
    <d v="2025-02-19T00:00:00"/>
    <x v="1"/>
  </r>
  <r>
    <n v="1045242"/>
    <s v="HOSANAN NELES CARNEIRO"/>
    <s v="19/02/2025 12:14:22:052"/>
    <n v="19947"/>
    <s v="TINTA SV5 TOQ LUZ  ILUMINA *B2* 16,0 E2-MANGANÊS D398"/>
    <n v="1"/>
    <n v="1"/>
    <n v="912.81"/>
    <n v="0"/>
    <n v="912.81"/>
    <n v="0"/>
    <d v="2025-02-19T00:00:00"/>
    <x v="1"/>
  </r>
  <r>
    <n v="1038122"/>
    <s v="CREOCELIA DE JESUS SOUSA"/>
    <d v="2025-02-19T14:00:00"/>
    <n v="37"/>
    <s v="REJUNTE WEBER FLEXIVEL BRANCO 1KG"/>
    <n v="2"/>
    <n v="2"/>
    <n v="18.899999999999999"/>
    <n v="0"/>
    <n v="37.799999999999997"/>
    <n v="0"/>
    <d v="2025-02-19T00:00:00"/>
    <x v="1"/>
  </r>
  <r>
    <n v="1005877"/>
    <s v="FRANCISCO DE SOUSA MOURA JUNIOR"/>
    <s v="21/02/2025 12:24:11:526"/>
    <n v="40595"/>
    <s v="ARGAMASSA RORAIMASSA AC1 20KG"/>
    <n v="1"/>
    <n v="1"/>
    <n v="29.9"/>
    <n v="0"/>
    <n v="29.9"/>
    <n v="0"/>
    <d v="2025-02-21T00:00:00"/>
    <x v="1"/>
  </r>
  <r>
    <n v="6824"/>
    <s v="ROGERIO JOSE"/>
    <s v="25/02/2025 12:47:43:372"/>
    <n v="54"/>
    <s v="ARGAMASSA WEBER AC3 CINZA 20KG"/>
    <n v="7"/>
    <n v="7"/>
    <n v="105.9"/>
    <n v="0"/>
    <n v="741.3"/>
    <n v="0"/>
    <d v="2025-02-25T00:00:00"/>
    <x v="1"/>
  </r>
  <r>
    <n v="1043709"/>
    <s v="ANGEL CAROLAINE MAIA MENENZES"/>
    <s v="26/02/2025 12:54:15:522"/>
    <n v="54633"/>
    <s v="PISO 44X44 LF44494 ARENITO GRIS LEF (2,50)LE-V1-1F"/>
    <n v="2.5"/>
    <n v="2.5"/>
    <n v="40.9"/>
    <n v="0"/>
    <n v="102.25"/>
    <n v="0"/>
    <d v="2025-02-26T00:00:00"/>
    <x v="1"/>
  </r>
  <r>
    <n v="1043417"/>
    <s v="ALAN DOUGLAS KOXHINSKI DE MENDEIROS"/>
    <s v="06/03/2025 17:29:54:652"/>
    <n v="77"/>
    <s v="REJUNTE WEBER FLEXIVEL BEGE 1KG"/>
    <n v="1"/>
    <n v="1"/>
    <n v="18.899999999999999"/>
    <n v="0"/>
    <n v="18.899999999999999"/>
    <n v="0"/>
    <d v="2025-03-06T00:00:00"/>
    <x v="2"/>
  </r>
  <r>
    <n v="6054"/>
    <s v="RONALDO DE JESUS VELOSO"/>
    <d v="2025-03-15T08:00:00"/>
    <n v="47671"/>
    <s v="NICHO 50X30 PORCELANATO BV PISOS"/>
    <n v="1"/>
    <n v="1"/>
    <n v="299.89999999999998"/>
    <n v="0"/>
    <n v="299.89999999999998"/>
    <n v="0"/>
    <d v="2025-03-15T00:00:00"/>
    <x v="2"/>
  </r>
  <r>
    <n v="1043787"/>
    <s v="R S N LIMA LTDA"/>
    <d v="2025-03-17T14:00:00"/>
    <n v="19168"/>
    <s v="CUBA APOIO QUAD SOTTILE PTO FO CSQ2 JAPI"/>
    <n v="1"/>
    <n v="1"/>
    <n v="1136.9000000000001"/>
    <n v="0"/>
    <n v="1136.9000000000001"/>
    <n v="0"/>
    <d v="2025-03-17T00:00:00"/>
    <x v="2"/>
  </r>
  <r>
    <n v="71086"/>
    <s v="REINALDO DE OLIVEIRA ALVES"/>
    <d v="2025-03-17T14:00:00"/>
    <n v="42717"/>
    <s v="MASSA CORRIDA SUVINIL 5,7KG (BP)"/>
    <n v="1"/>
    <n v="1"/>
    <n v="41.9"/>
    <n v="0"/>
    <n v="41.9"/>
    <n v="0"/>
    <d v="2025-03-17T00:00:00"/>
    <x v="2"/>
  </r>
  <r>
    <n v="1044973"/>
    <s v="MARCIO DIAS BARBOSA"/>
    <s v="19/03/2025 13:44:00:218"/>
    <n v="1621"/>
    <s v="REJUNTE WEBER PMG BRANCO 1KG"/>
    <n v="1"/>
    <n v="1"/>
    <n v="26.9"/>
    <n v="0"/>
    <n v="26.9"/>
    <n v="0"/>
    <d v="2025-03-19T00:00:00"/>
    <x v="2"/>
  </r>
  <r>
    <n v="96827"/>
    <s v="GELSIVAN DOS SANTOS"/>
    <s v="21/03/2025 15:31:13:86"/>
    <n v="40595"/>
    <s v="ARGAMASSA RORAIMASSA AC1 20KG"/>
    <n v="2"/>
    <n v="2"/>
    <n v="29.9"/>
    <n v="0"/>
    <n v="59.8"/>
    <n v="0"/>
    <d v="2025-03-21T00:00:00"/>
    <x v="2"/>
  </r>
  <r>
    <n v="1019042"/>
    <s v="JEREDIEL DOS SANTOS SILVA"/>
    <s v="24/03/2025 08:15:23:157"/>
    <n v="4694"/>
    <s v="REJUNTE WEBER PMG CINZA PLATINA 1KG"/>
    <n v="2"/>
    <n v="2"/>
    <n v="26.9"/>
    <n v="0"/>
    <n v="53.8"/>
    <n v="0"/>
    <d v="2025-03-24T00:00:00"/>
    <x v="2"/>
  </r>
  <r>
    <n v="7852"/>
    <s v="UELITON PERREIRA FELIX"/>
    <s v="24/03/2025 10:42:06:641"/>
    <n v="40892"/>
    <s v="ARGAMASSA RORAIMASSA AC2 20KG"/>
    <n v="9"/>
    <n v="9"/>
    <n v="55.9"/>
    <n v="0"/>
    <n v="503.1"/>
    <n v="0"/>
    <d v="2025-03-24T00:00:00"/>
    <x v="2"/>
  </r>
  <r>
    <n v="1016048"/>
    <s v="LETYICIA COELHA"/>
    <s v="25/03/2025 11:42:22:505"/>
    <n v="40595"/>
    <s v="ARGAMASSA RORAIMASSA AC1 20KG"/>
    <n v="12"/>
    <n v="12"/>
    <n v="29.9"/>
    <n v="0"/>
    <n v="358.8"/>
    <n v="0"/>
    <d v="2025-03-25T00:00:00"/>
    <x v="2"/>
  </r>
  <r>
    <n v="35824"/>
    <s v="CLISTENES AUGUSTO MONTENEGRO"/>
    <s v="25/03/2025 16:31:25:985"/>
    <n v="50263"/>
    <s v="PORCE 20X120 LEGNO MASO EXT BIANCOGRES (1,70)"/>
    <n v="1.7"/>
    <n v="1.7"/>
    <n v="139.9"/>
    <n v="0"/>
    <n v="237.83"/>
    <n v="0"/>
    <d v="2025-03-25T00:00:00"/>
    <x v="2"/>
  </r>
  <r>
    <n v="1046085"/>
    <s v="LARA DE OLIVEIRA"/>
    <s v="25/03/2025 17:04:11:475"/>
    <n v="41"/>
    <s v="ARGAMASSA WEBER AC1 20KG"/>
    <n v="1"/>
    <n v="1"/>
    <n v="43.9"/>
    <n v="0"/>
    <n v="43.9"/>
    <n v="0"/>
    <d v="2025-03-25T00:00:00"/>
    <x v="2"/>
  </r>
  <r>
    <n v="2071"/>
    <s v="MARIA SILVANA RODRIGUES CABRAL"/>
    <s v="26/03/2025 10:26:11:93"/>
    <n v="41"/>
    <s v="ARGAMASSA WEBER AC1 20KG"/>
    <n v="1"/>
    <n v="1"/>
    <n v="43.9"/>
    <n v="0"/>
    <n v="43.9"/>
    <n v="0"/>
    <d v="2025-03-26T00:00:00"/>
    <x v="2"/>
  </r>
  <r>
    <n v="2071"/>
    <s v="MARIA SILVANA RODRIGUES CABRAL"/>
    <s v="26/03/2025 10:26:11:93"/>
    <n v="2682"/>
    <s v="ARGAMASSA WEBER PORCE S/PISO INT CZ 20KG"/>
    <n v="1"/>
    <n v="1"/>
    <n v="82.9"/>
    <n v="0"/>
    <n v="82.9"/>
    <n v="0"/>
    <d v="2025-03-26T00:00:00"/>
    <x v="2"/>
  </r>
  <r>
    <n v="1024192"/>
    <s v="JOSE ROBERTO RIBEIRO DOS SANTOS"/>
    <s v="26/03/2025 12:05:54:794"/>
    <n v="40469"/>
    <s v="REJUNTE WEBER PMG CAIRO 1KG"/>
    <n v="2"/>
    <n v="2"/>
    <n v="24.9"/>
    <n v="0"/>
    <n v="49.8"/>
    <n v="0"/>
    <d v="2025-03-26T00:00:00"/>
    <x v="2"/>
  </r>
  <r>
    <n v="1045800"/>
    <s v="ROSIE ELVIRA PALACIOS"/>
    <d v="2025-03-26T16:57:00"/>
    <n v="42803"/>
    <s v="TINTA GLASU FO MUDA FACIL GELO 18L (LF)"/>
    <n v="1"/>
    <n v="1"/>
    <n v="289.89999999999998"/>
    <n v="0"/>
    <n v="289.89999999999998"/>
    <n v="0"/>
    <d v="2025-03-26T00:00:00"/>
    <x v="2"/>
  </r>
  <r>
    <n v="11021"/>
    <s v="WENDEL MONTELES RODRIGUES"/>
    <s v="28/03/2025 11:39:26:206"/>
    <n v="41"/>
    <s v="ARGAMASSA WEBER AC1 20KG"/>
    <n v="13"/>
    <n v="13"/>
    <n v="43.9"/>
    <n v="0"/>
    <n v="570.70000000000005"/>
    <n v="0"/>
    <d v="2025-03-28T00:00:00"/>
    <x v="2"/>
  </r>
  <r>
    <n v="1042517"/>
    <s v="ROSHAN ALI"/>
    <s v="28/03/2025 17:56:34:1"/>
    <n v="15338"/>
    <s v="BANHEIRA HIDRO ESPARTA HE108WC*BR ASTRA"/>
    <n v="2"/>
    <n v="2"/>
    <n v="7999.9"/>
    <n v="0"/>
    <n v="15999.8"/>
    <n v="0"/>
    <d v="2025-03-28T00:00:00"/>
    <x v="2"/>
  </r>
  <r>
    <n v="1042517"/>
    <s v="ROSHAN ALI"/>
    <s v="28/03/2025 17:57:51:976"/>
    <n v="35650"/>
    <s v="BANHEIRA HIDRO SEREN MAGGIORE H228WC*BR ASTRA"/>
    <n v="1"/>
    <n v="1"/>
    <n v="9249.9"/>
    <n v="0"/>
    <n v="9249.9"/>
    <n v="0"/>
    <d v="2025-03-28T00:00:00"/>
    <x v="2"/>
  </r>
  <r>
    <n v="1046106"/>
    <s v="EDVAN RODRIGUES SILVA"/>
    <s v="02/04/2025 08:03:35:847"/>
    <n v="4694"/>
    <s v="REJUNTE WEBER PMG CINZA PLATINA 1KG"/>
    <n v="1"/>
    <n v="1"/>
    <n v="26.9"/>
    <n v="0"/>
    <n v="26.9"/>
    <n v="0"/>
    <d v="2025-04-02T00:00:00"/>
    <x v="3"/>
  </r>
  <r>
    <n v="2425"/>
    <s v="DAMASIO CARNERO LARANJEIRA"/>
    <s v="04/04/2025 09:58:58:12"/>
    <n v="41"/>
    <s v="ARGAMASSA WEBER AC1 20KG"/>
    <n v="4"/>
    <n v="4"/>
    <n v="43.9"/>
    <n v="0"/>
    <n v="175.6"/>
    <n v="0"/>
    <d v="2025-04-04T00:00:00"/>
    <x v="3"/>
  </r>
  <r>
    <n v="2425"/>
    <s v="DAMASIO CARNERO LARANJEIRA"/>
    <s v="04/04/2025 09:58:58:12"/>
    <n v="40474"/>
    <s v="REJUNTE WEBER PMG MARROM CANELA 1KG"/>
    <n v="4"/>
    <n v="4"/>
    <n v="24.9"/>
    <n v="0"/>
    <n v="99.6"/>
    <n v="0"/>
    <d v="2025-04-04T00:00:00"/>
    <x v="3"/>
  </r>
  <r>
    <n v="1006744"/>
    <s v="ELEILSON MESTRE BRAGA"/>
    <s v="09/04/2025 08:32:31:8"/>
    <n v="40595"/>
    <s v="ARGAMASSA RORAIMASSA AC1 20KG"/>
    <n v="3"/>
    <n v="3"/>
    <n v="29.9"/>
    <n v="0"/>
    <n v="89.7"/>
    <n v="0"/>
    <d v="2025-04-09T00:00:00"/>
    <x v="3"/>
  </r>
  <r>
    <n v="1026486"/>
    <s v="AIRTON DE MEDEIROS SANTOS"/>
    <s v="09/04/2025 15:02:52:805"/>
    <n v="75"/>
    <s v="REJUNTE WEBER FLEXIVEL CINZA ARTICO 1KG"/>
    <n v="3"/>
    <n v="3"/>
    <n v="17.899999999999999"/>
    <n v="0"/>
    <n v="53.7"/>
    <n v="0"/>
    <d v="2025-04-09T00:00:00"/>
    <x v="3"/>
  </r>
  <r>
    <n v="1042491"/>
    <s v="ROGERIO OLIVEIRA SILVA"/>
    <s v="10/04/2025 10:31:53:252"/>
    <n v="2682"/>
    <s v="ARGAMASSA WEBER PORCE S/PISO INT CZ 20KG"/>
    <n v="2"/>
    <n v="2"/>
    <n v="82.9"/>
    <n v="0"/>
    <n v="165.8"/>
    <n v="0"/>
    <d v="2025-04-10T00:00:00"/>
    <x v="3"/>
  </r>
  <r>
    <n v="1001124"/>
    <s v="COSMO DA SILVA ROSA"/>
    <s v="14/04/2025 09:24:16:812"/>
    <n v="41"/>
    <s v="ARGAMASSA WEBER AC1 20KG"/>
    <n v="2"/>
    <n v="2"/>
    <n v="43.9"/>
    <n v="0"/>
    <n v="87.8"/>
    <n v="0"/>
    <d v="2025-04-14T00:00:00"/>
    <x v="3"/>
  </r>
  <r>
    <n v="1001124"/>
    <s v="COSMO DA SILVA ROSA"/>
    <s v="14/04/2025 09:24:16:812"/>
    <n v="39"/>
    <s v="REJUNTE WEBER FLEXIVEL PRETO GRAFITE 1KG"/>
    <n v="5"/>
    <n v="5"/>
    <n v="18.899999999999999"/>
    <n v="0"/>
    <n v="94.5"/>
    <n v="0"/>
    <d v="2025-04-14T00:00:00"/>
    <x v="3"/>
  </r>
  <r>
    <n v="1002631"/>
    <s v="RONALDO DOS SANTOS MACHADO"/>
    <s v="15/04/2025 11:43:18:406"/>
    <n v="40894"/>
    <s v="ARGAMASSA RORAIMASSA AC3 20KG"/>
    <n v="2"/>
    <n v="2"/>
    <n v="65.900000000000006"/>
    <n v="0"/>
    <n v="131.80000000000001"/>
    <n v="0"/>
    <d v="2025-04-15T00:00:00"/>
    <x v="3"/>
  </r>
  <r>
    <n v="1046434"/>
    <s v="LUCIANO ROSENO MONTEIRO"/>
    <s v="16/04/2025 08:51:53:144"/>
    <n v="21546"/>
    <s v="PISO 44X44 LF44172 ROMA CINZA GOT LEF (2,50)LE-V1-1F"/>
    <n v="5"/>
    <n v="5"/>
    <n v="40.9"/>
    <n v="0"/>
    <n v="204.5"/>
    <n v="0"/>
    <d v="2025-04-16T00:00:00"/>
    <x v="3"/>
  </r>
  <r>
    <n v="1046696"/>
    <s v="GISSELY NASCIMENTO"/>
    <s v="16/04/2025 11:12:57:339"/>
    <n v="13809"/>
    <s v="ARGAMASSA SIKA AC1 BASIC 20KG"/>
    <n v="1"/>
    <n v="1"/>
    <n v="34.9"/>
    <n v="0"/>
    <n v="34.9"/>
    <n v="0"/>
    <d v="2025-04-16T00:00:00"/>
    <x v="3"/>
  </r>
  <r>
    <n v="1042517"/>
    <s v="ROSHAN ALI"/>
    <s v="16/04/2025 11:41:36:829"/>
    <n v="37251"/>
    <s v="PORCE 60X120 ROYAL BLACK SATIN  BIANCOGRES"/>
    <n v="50.6"/>
    <n v="50.6"/>
    <n v="169.9"/>
    <n v="0"/>
    <n v="8596.94"/>
    <n v="0"/>
    <d v="2025-04-16T00:00:00"/>
    <x v="3"/>
  </r>
  <r>
    <n v="1042517"/>
    <s v="ROSHAN ALI"/>
    <s v="16/04/2025 11:41:59:654"/>
    <n v="37243"/>
    <s v="PORCE 60X120 TRAVERTINO NAVONA SATIN BIANCOGRES (2,20)LE-V3"/>
    <n v="81.400000000000006"/>
    <n v="81.400000000000006"/>
    <n v="145.9"/>
    <n v="0"/>
    <n v="11876.26"/>
    <n v="0"/>
    <d v="2025-04-16T00:00:00"/>
    <x v="3"/>
  </r>
  <r>
    <n v="1046704"/>
    <s v="ANA PAULA DE AGUIAR"/>
    <s v="16/04/2025 14:13:50:005"/>
    <n v="13984"/>
    <s v="MASSA CORRIDA 25KG SUVINIL 50687535"/>
    <n v="3"/>
    <n v="3"/>
    <n v="109.9"/>
    <n v="0"/>
    <n v="329.7"/>
    <n v="0"/>
    <d v="2025-04-16T00:00:00"/>
    <x v="3"/>
  </r>
  <r>
    <n v="1023318"/>
    <s v="ROSITA DE MORAIS LIMA"/>
    <s v="16/04/2025 17:30:21:494"/>
    <n v="50207"/>
    <s v="PORCE 100X100 BROOKLYN GREY SATIN BIANCOGRES (3,00)"/>
    <n v="3"/>
    <n v="3"/>
    <n v="145.9"/>
    <n v="0"/>
    <n v="437.7"/>
    <n v="0"/>
    <d v="2025-04-16T00:00:00"/>
    <x v="3"/>
  </r>
  <r>
    <n v="26990"/>
    <s v="JOCIELE SANTOS SILVA"/>
    <s v="17/04/2025 10:50:44:134"/>
    <n v="13809"/>
    <s v="ARGAMASSA SIKA AC1 BASIC 20KG"/>
    <n v="10"/>
    <n v="10"/>
    <n v="34.9"/>
    <n v="0"/>
    <n v="349"/>
    <n v="0"/>
    <d v="2025-04-17T00:00:00"/>
    <x v="3"/>
  </r>
  <r>
    <n v="1001124"/>
    <s v="COSMO DA SILVA ROSA"/>
    <s v="17/04/2025 16:20:32:259"/>
    <n v="41"/>
    <s v="ARGAMASSA WEBER AC1 20KG"/>
    <n v="12"/>
    <n v="12"/>
    <n v="43.9"/>
    <n v="0"/>
    <n v="526.79999999999995"/>
    <n v="0"/>
    <d v="2025-04-17T00:00:00"/>
    <x v="3"/>
  </r>
  <r>
    <n v="1046528"/>
    <s v="LUCI CLEONICE SABKA"/>
    <s v="18/04/2025 09:59:17:99"/>
    <n v="40894"/>
    <s v="ARGAMASSA RORAIMASSA AC3 20KG"/>
    <n v="5"/>
    <n v="5"/>
    <n v="65.900000000000006"/>
    <n v="0"/>
    <n v="329.5"/>
    <n v="0"/>
    <d v="2025-04-18T00:00:00"/>
    <x v="3"/>
  </r>
  <r>
    <n v="1046807"/>
    <s v="JOSE GLEIDSON QUEIROZ"/>
    <s v="22/04/2025 10:30:46:171"/>
    <n v="13809"/>
    <s v="ARGAMASSA SIKA AC1 BASIC 20KG"/>
    <n v="10"/>
    <n v="10"/>
    <n v="34.9"/>
    <n v="0"/>
    <n v="349"/>
    <n v="0"/>
    <d v="2025-04-22T00:00:00"/>
    <x v="3"/>
  </r>
  <r>
    <n v="1045683"/>
    <s v="MAXNORTE ADMINISTRADORA DE BENS LTDA"/>
    <d v="2025-04-23T14:00:00"/>
    <n v="8837"/>
    <s v="ESCOVA REANGULAR 1199-02 TIGRE"/>
    <n v="3"/>
    <n v="3"/>
    <n v="11.9"/>
    <n v="0"/>
    <n v="35.700000000000003"/>
    <n v="0"/>
    <d v="2025-04-23T00:00:00"/>
    <x v="3"/>
  </r>
  <r>
    <n v="1013434"/>
    <s v="ABEL 99170-0020"/>
    <s v="23/04/2025 14:46:28:718"/>
    <n v="13809"/>
    <s v="ARGAMASSA SIKA AC1 BASIC 20KG"/>
    <n v="1"/>
    <n v="1"/>
    <n v="34.9"/>
    <n v="0"/>
    <n v="34.9"/>
    <n v="0"/>
    <d v="2025-04-23T00:00:00"/>
    <x v="3"/>
  </r>
  <r>
    <n v="1031841"/>
    <s v="WENDEL ALVES LOPES"/>
    <s v="30/04/2025 09:29:32:254"/>
    <n v="58562"/>
    <s v="PISO 57X57 CLEAN CECAFI (2,59)"/>
    <n v="7.77"/>
    <n v="7.77"/>
    <n v="45.9"/>
    <n v="0"/>
    <n v="356.64299999999997"/>
    <n v="0"/>
    <d v="2025-04-30T00:00:00"/>
    <x v="3"/>
  </r>
  <r>
    <n v="1046848"/>
    <s v="HANDRIAN VITORIA DA SILVA CARNEIRO"/>
    <s v="02/05/2025 11:28:17:087"/>
    <n v="41"/>
    <s v="ARGAMASSA WEBER AC1 20KG"/>
    <n v="4"/>
    <n v="4"/>
    <n v="43.9"/>
    <n v="0"/>
    <n v="175.6"/>
    <n v="0"/>
    <d v="2025-05-02T00:00:00"/>
    <x v="4"/>
  </r>
  <r>
    <n v="1046848"/>
    <s v="HANDRIAN VITORIA DA SILVA CARNEIRO"/>
    <s v="02/05/2025 11:28:17:087"/>
    <n v="50664"/>
    <s v="PISO 86X86 PHD86090R URANO AC INOUT (2,21)LC-V4-6F"/>
    <n v="4.42"/>
    <n v="4.42"/>
    <n v="66.900000000000006"/>
    <n v="0"/>
    <n v="295.69799999999998"/>
    <n v="0"/>
    <d v="2025-05-02T00:00:00"/>
    <x v="4"/>
  </r>
  <r>
    <n v="3766"/>
    <s v="RONEANDERSON BORGES DE SOUSA"/>
    <s v="06/05/2025 17:31:03:77"/>
    <n v="13809"/>
    <s v="ARGAMASSA SIKA AC1 BASIC 20KG"/>
    <n v="7"/>
    <n v="7"/>
    <n v="34.9"/>
    <n v="0"/>
    <n v="244.3"/>
    <n v="0"/>
    <d v="2025-05-06T00:00:00"/>
    <x v="4"/>
  </r>
  <r>
    <n v="1015641"/>
    <s v="EDMILSON PEREIRA DA SILVA JUNIOR"/>
    <s v="07/05/2025 08:56:10:176"/>
    <n v="5108"/>
    <s v="ESPACADOR/NIVELADOR 1,5MM CORTAG 60692"/>
    <n v="2"/>
    <n v="1"/>
    <n v="14.9"/>
    <n v="1"/>
    <n v="14.9"/>
    <n v="14.9"/>
    <d v="2025-05-07T00:00:00"/>
    <x v="4"/>
  </r>
  <r>
    <n v="91081"/>
    <s v="EMILIA MARIA FREITAS ALEXANDRINO"/>
    <s v="07/05/2025 10:18:47:57"/>
    <n v="32914"/>
    <s v="PISO 54X54 RIVIERA BRANCO BR ARIELLE (2,62)LCI-V1-1F"/>
    <n v="47.16"/>
    <n v="47.16"/>
    <n v="44.9"/>
    <n v="0"/>
    <n v="2117.4839999999999"/>
    <n v="0"/>
    <d v="2025-05-07T00:00:00"/>
    <x v="4"/>
  </r>
  <r>
    <n v="1007707"/>
    <s v="MARIA POLIANA DE ARRUDA"/>
    <s v="07/05/2025 10:49:37:402"/>
    <n v="47325"/>
    <s v="REJUNTE WEBER PMG VERDE FLORESTA 1KG"/>
    <n v="4"/>
    <n v="4"/>
    <n v="24.9"/>
    <n v="0"/>
    <n v="99.6"/>
    <n v="0"/>
    <d v="2025-05-07T00:00:00"/>
    <x v="4"/>
  </r>
  <r>
    <n v="1014781"/>
    <s v="ALCIDES CONCEICAO"/>
    <s v="07/05/2025 15:16:53:172"/>
    <n v="4694"/>
    <s v="REJUNTE WEBER PMG CINZA PLATINA 1KG"/>
    <n v="3"/>
    <n v="3"/>
    <n v="26.9"/>
    <n v="0"/>
    <n v="80.7"/>
    <n v="0"/>
    <d v="2025-05-07T00:00:00"/>
    <x v="4"/>
  </r>
  <r>
    <n v="1036156"/>
    <s v="CARLOS JAVIER CORTEZ SALCEDO"/>
    <s v="08/05/2025 09:51:26:849"/>
    <n v="40892"/>
    <s v="ARGAMASSA RORAIMASSA AC2 20KG"/>
    <n v="3"/>
    <n v="3"/>
    <n v="55.9"/>
    <n v="0"/>
    <n v="167.7"/>
    <n v="0"/>
    <d v="2025-05-08T00:00:00"/>
    <x v="4"/>
  </r>
  <r>
    <n v="1026304"/>
    <s v="ERITON NICACIO PINHEIRO"/>
    <s v="08/05/2025 11:03:11:395"/>
    <n v="901"/>
    <s v="ARGAMASSA WEBER PORCELANATO INT CZ 20KG"/>
    <n v="10"/>
    <n v="10"/>
    <n v="59.9"/>
    <n v="0"/>
    <n v="599"/>
    <n v="0"/>
    <d v="2025-05-08T00:00:00"/>
    <x v="4"/>
  </r>
  <r>
    <n v="16805"/>
    <s v="FLAVIO MARTINS DE SOUZA"/>
    <s v="13/05/2025 08:10:46:722"/>
    <n v="37950"/>
    <s v="REJUNTE WEBER PISCINAS VERDE FLORESTA 5KG"/>
    <n v="1"/>
    <n v="1"/>
    <n v="169.9"/>
    <n v="0"/>
    <n v="169.9"/>
    <n v="0"/>
    <d v="2025-05-13T00:00:00"/>
    <x v="4"/>
  </r>
  <r>
    <n v="1045784"/>
    <s v="GABRIELLY LIZZIE  OLIVEIRA FIGUEIREDO"/>
    <s v="13/05/2025 08:16:53:328"/>
    <n v="13809"/>
    <s v="ARGAMASSA SIKA AC1 BASIC 20KG"/>
    <n v="10"/>
    <n v="10"/>
    <n v="34.9"/>
    <n v="0"/>
    <n v="349"/>
    <n v="0"/>
    <d v="2025-05-13T00:00:00"/>
    <x v="4"/>
  </r>
  <r>
    <n v="1044969"/>
    <s v="DANIELE SANTOS DE LIMA"/>
    <s v="14/05/2025 09:20:02:37"/>
    <n v="13809"/>
    <s v="ARGAMASSA SIKA AC1 BASIC 20KG"/>
    <n v="9"/>
    <n v="9"/>
    <n v="34.9"/>
    <n v="0"/>
    <n v="314.10000000000002"/>
    <n v="0"/>
    <d v="2025-05-14T00:00:00"/>
    <x v="4"/>
  </r>
  <r>
    <n v="1044969"/>
    <s v="DANIELE SANTOS DE LIMA"/>
    <s v="14/05/2025 09:20:02:37"/>
    <n v="3873"/>
    <s v="REJUNTE WEBER FLEXIVEL CORDA 1KG"/>
    <n v="4"/>
    <n v="4"/>
    <n v="18.899999999999999"/>
    <n v="0"/>
    <n v="75.599999999999994"/>
    <n v="0"/>
    <d v="2025-05-14T00:00:00"/>
    <x v="4"/>
  </r>
  <r>
    <n v="1015049"/>
    <s v="MARIA DE JESUS OLIVEIRA"/>
    <s v="14/05/2025 11:09:00:811"/>
    <n v="8105"/>
    <s v="PISO 45X45 RENDA BRANCO FORMIGRES (2,00)PEI.3-1F"/>
    <n v="2"/>
    <n v="2"/>
    <n v="44.9"/>
    <n v="0"/>
    <n v="89.8"/>
    <n v="0"/>
    <d v="2025-05-14T00:00:00"/>
    <x v="4"/>
  </r>
  <r>
    <n v="1047360"/>
    <s v="LUIZ RODRIGUES"/>
    <s v="15/05/2025 15:53:19:822"/>
    <n v="37"/>
    <s v="REJUNTE WEBER FLEXIVEL BRANCO 1KG"/>
    <n v="2"/>
    <n v="2"/>
    <n v="18.899999999999999"/>
    <n v="0"/>
    <n v="37.799999999999997"/>
    <n v="0"/>
    <d v="2025-05-15T00:00:00"/>
    <x v="4"/>
  </r>
  <r>
    <n v="1047203"/>
    <s v="ELIZANGELA BARBOSA MACHADO"/>
    <s v="16/05/2025 09:37:30:043"/>
    <n v="13809"/>
    <s v="ARGAMASSA SIKA AC1 BASIC 20KG"/>
    <n v="1"/>
    <n v="1"/>
    <n v="34.9"/>
    <n v="0"/>
    <n v="34.9"/>
    <n v="0"/>
    <d v="2025-05-16T00:00:00"/>
    <x v="4"/>
  </r>
  <r>
    <n v="1047203"/>
    <s v="ELIZANGELA BARBOSA MACHADO"/>
    <s v="16/05/2025 09:37:30:043"/>
    <n v="46005"/>
    <s v="PORCE 70X70 ICARO PO CERBRAS (2,00)"/>
    <n v="4"/>
    <n v="4"/>
    <n v="99.9"/>
    <n v="0"/>
    <n v="399.6"/>
    <n v="0"/>
    <d v="2025-05-16T00:00:00"/>
    <x v="4"/>
  </r>
  <r>
    <n v="70694"/>
    <s v="LUCAS LEITAO COELHO"/>
    <s v="16/05/2025 11:30:59:203"/>
    <n v="40595"/>
    <s v="ARGAMASSA RORAIMASSA AC1 20KG"/>
    <n v="10"/>
    <n v="10"/>
    <n v="29.9"/>
    <n v="0"/>
    <n v="299"/>
    <n v="0"/>
    <d v="2025-05-16T00:00:00"/>
    <x v="4"/>
  </r>
  <r>
    <n v="95703"/>
    <s v="MARIA RITA LEITE GUIMARAES"/>
    <s v="21/05/2025 09:51:54:941"/>
    <n v="59954"/>
    <s v="PISO 58X58 PSI66000 INCENOR (2,68)"/>
    <n v="24.12"/>
    <n v="24.12"/>
    <n v="45.9"/>
    <n v="0"/>
    <n v="1107.1079999999999"/>
    <n v="0"/>
    <d v="2025-05-21T00:00:00"/>
    <x v="4"/>
  </r>
  <r>
    <n v="8438"/>
    <s v="JOSE COSME DA SILVA FILHO"/>
    <s v="21/05/2025 11:57:15:369"/>
    <n v="40595"/>
    <s v="ARGAMASSA RORAIMASSA AC1 20KG"/>
    <n v="1"/>
    <n v="1"/>
    <n v="29.9"/>
    <n v="0"/>
    <n v="29.9"/>
    <n v="0"/>
    <d v="2025-05-21T00:00:00"/>
    <x v="4"/>
  </r>
  <r>
    <n v="1003572"/>
    <s v="FRANCISCO SEVERINO COSTA BEZERRA"/>
    <s v="22/05/2025 14:19:49:203"/>
    <n v="41"/>
    <s v="ARGAMASSA WEBER AC1 20KG"/>
    <n v="2"/>
    <n v="2"/>
    <n v="43.9"/>
    <n v="0"/>
    <n v="87.8"/>
    <n v="0"/>
    <d v="2025-05-22T00:00:00"/>
    <x v="4"/>
  </r>
  <r>
    <n v="1047594"/>
    <s v="MARLENE DE LURDES"/>
    <s v="23/05/2025 16:12:34:714"/>
    <n v="38"/>
    <s v="REJUNTE WEBER FLEXIVEL CINZA PLATINA 1KG"/>
    <n v="2"/>
    <n v="2"/>
    <n v="18.899999999999999"/>
    <n v="0"/>
    <n v="37.799999999999997"/>
    <n v="0"/>
    <d v="2025-05-23T00:00:00"/>
    <x v="4"/>
  </r>
  <r>
    <n v="1254"/>
    <s v="FRANCISCO ANTONIO B SOUSA"/>
    <s v="23/05/2025 16:26:46:789"/>
    <n v="2851"/>
    <s v="ARGAMASSA SIKA PORCELANATO GRES 20KG"/>
    <n v="1"/>
    <n v="1"/>
    <n v="51.9"/>
    <n v="0"/>
    <n v="51.9"/>
    <n v="0"/>
    <d v="2025-05-23T00:00:00"/>
    <x v="4"/>
  </r>
  <r>
    <n v="1046265"/>
    <s v="JOAQUIM TOMAZ ABREL"/>
    <s v="27/05/2025 09:57:38:187"/>
    <n v="1621"/>
    <s v="REJUNTE WEBER PMG BRANCO 1KG"/>
    <n v="1"/>
    <n v="1"/>
    <n v="26.9"/>
    <n v="0"/>
    <n v="26.9"/>
    <n v="0"/>
    <d v="2025-05-27T00:00:00"/>
    <x v="4"/>
  </r>
  <r>
    <n v="1046265"/>
    <s v="JOAQUIM TOMAZ ABREL"/>
    <s v="27/05/2025 09:57:38:187"/>
    <n v="4694"/>
    <s v="REJUNTE WEBER PMG CINZA PLATINA 1KG"/>
    <n v="4"/>
    <n v="4"/>
    <n v="26.9"/>
    <n v="0"/>
    <n v="107.6"/>
    <n v="0"/>
    <d v="2025-05-27T00:00:00"/>
    <x v="4"/>
  </r>
  <r>
    <n v="1047741"/>
    <s v="SONIVALDO BEZERRA DA SILVA"/>
    <s v="27/05/2025 11:38:03:531"/>
    <n v="2851"/>
    <s v="ARGAMASSA SIKA PORCELANATO GRES 20KG"/>
    <n v="3"/>
    <n v="3"/>
    <n v="51.9"/>
    <n v="0"/>
    <n v="155.69999999999999"/>
    <n v="0"/>
    <d v="2025-05-27T00:00:00"/>
    <x v="4"/>
  </r>
  <r>
    <n v="1017756"/>
    <s v="CARLOS JOSE LUNA DOS SANTOS"/>
    <d v="2025-05-29T00:00:00"/>
    <n v="1622"/>
    <s v="REJUNTE WEBER PMG BEGE 1KG"/>
    <n v="8"/>
    <n v="8"/>
    <n v="24.9"/>
    <n v="0"/>
    <n v="199.2"/>
    <n v="0"/>
    <d v="2025-05-29T00:00:00"/>
    <x v="4"/>
  </r>
  <r>
    <n v="1030613"/>
    <s v="PABLO PINTO DA SILVA"/>
    <s v="03/06/2025 11:07:46:063"/>
    <n v="13809"/>
    <s v="ARGAMASSA SIKA AC1 BASIC 20KG"/>
    <n v="4"/>
    <n v="4"/>
    <n v="34.9"/>
    <n v="0"/>
    <n v="139.6"/>
    <n v="0"/>
    <d v="2025-06-03T00:00:00"/>
    <x v="5"/>
  </r>
  <r>
    <n v="26885"/>
    <s v="JORGE FERNANDO DA SILVA SANTOS"/>
    <s v="04/06/2025 11:57:34:709"/>
    <n v="40595"/>
    <s v="ARGAMASSA RORAIMASSA AC1 20KG"/>
    <n v="2"/>
    <n v="2"/>
    <n v="29.9"/>
    <n v="0"/>
    <n v="59.8"/>
    <n v="0"/>
    <d v="2025-06-04T00:00:00"/>
    <x v="5"/>
  </r>
  <r>
    <n v="1047843"/>
    <s v="CLESTIANE DIAS ARAUJO"/>
    <s v="04/06/2025 12:14:08:215"/>
    <n v="59924"/>
    <s v="REVEST 32,5X57 RVI57130 INCENOR (2,21)"/>
    <n v="4.42"/>
    <n v="4.42"/>
    <n v="43.9"/>
    <n v="0"/>
    <n v="194.03800000000001"/>
    <n v="0"/>
    <d v="2025-06-04T00:00:00"/>
    <x v="5"/>
  </r>
  <r>
    <n v="10400"/>
    <s v="FABIO RODRIGUES SOBRINHO"/>
    <s v="04/06/2025 15:04:30:696"/>
    <n v="4694"/>
    <s v="REJUNTE WEBER PMG CINZA PLATINA 1KG"/>
    <n v="1"/>
    <n v="1"/>
    <n v="26.9"/>
    <n v="0"/>
    <n v="26.9"/>
    <n v="0"/>
    <d v="2025-06-04T00:00:00"/>
    <x v="5"/>
  </r>
  <r>
    <n v="1023375"/>
    <s v="BEATRIZ DELSE MONTANHY"/>
    <s v="05/06/2025 10:00:20:078"/>
    <n v="21645"/>
    <s v="PISO 61X61 BRANCO 61 FORMIGRES (2,23) PEI.4-1F"/>
    <n v="2.23"/>
    <n v="2.23"/>
    <n v="46.9"/>
    <n v="0"/>
    <n v="104.587"/>
    <n v="0"/>
    <d v="2025-06-05T00:00:00"/>
    <x v="5"/>
  </r>
  <r>
    <n v="1045747"/>
    <s v="CELSON ROBERTO CARVALHO MEIRELES"/>
    <s v="05/06/2025 11:03:50:791"/>
    <n v="40595"/>
    <s v="ARGAMASSA RORAIMASSA AC1 20KG"/>
    <n v="2"/>
    <n v="2"/>
    <n v="29.9"/>
    <n v="0"/>
    <n v="59.8"/>
    <n v="0"/>
    <d v="2025-06-05T00:00:00"/>
    <x v="5"/>
  </r>
  <r>
    <n v="60005"/>
    <s v="ANTONIO BARBOSA LIMA"/>
    <s v="06/06/2025 10:10:11:983"/>
    <n v="40595"/>
    <s v="ARGAMASSA RORAIMASSA AC1 20KG"/>
    <n v="1"/>
    <n v="1"/>
    <n v="29.9"/>
    <n v="0"/>
    <n v="29.9"/>
    <n v="0"/>
    <d v="2025-06-06T00:00:00"/>
    <x v="5"/>
  </r>
  <r>
    <n v="1047998"/>
    <s v="ANTONIA ALRILANDIA FREITAS"/>
    <s v="11/06/2025 08:24:30:501"/>
    <n v="41"/>
    <s v="ARGAMASSA WEBER AC1 20KG"/>
    <n v="4"/>
    <n v="4"/>
    <n v="43.9"/>
    <n v="0"/>
    <n v="175.6"/>
    <n v="0"/>
    <d v="2025-06-11T00:00:00"/>
    <x v="5"/>
  </r>
  <r>
    <n v="1047998"/>
    <s v="ANTONIA ALRILANDIA FREITAS"/>
    <s v="11/06/2025 08:24:30:501"/>
    <n v="38"/>
    <s v="REJUNTE WEBER FLEXIVEL CINZA PLATINA 1KG"/>
    <n v="6"/>
    <n v="6"/>
    <n v="18.899999999999999"/>
    <n v="0"/>
    <n v="113.4"/>
    <n v="0"/>
    <d v="2025-06-11T00:00:00"/>
    <x v="5"/>
  </r>
  <r>
    <n v="1032539"/>
    <s v="CLEILTON NASCIMENTO DA SILVA"/>
    <s v="12/06/2025 08:40:28:359"/>
    <n v="17268"/>
    <s v="ARGAMASSA SIKA AC3 PERFORMANCE CINZA 20KG"/>
    <n v="4"/>
    <n v="4"/>
    <n v="69.900000000000006"/>
    <n v="0"/>
    <n v="279.60000000000002"/>
    <n v="0"/>
    <d v="2025-06-12T00:00:00"/>
    <x v="5"/>
  </r>
  <r>
    <n v="1047918"/>
    <s v="LORRAYNY CRISTINA DE SOUSA MOURAES"/>
    <s v="12/06/2025 11:11:44:803"/>
    <n v="40595"/>
    <s v="ARGAMASSA RORAIMASSA AC1 20KG"/>
    <n v="3"/>
    <n v="3"/>
    <n v="29.9"/>
    <n v="0"/>
    <n v="89.7"/>
    <n v="0"/>
    <d v="2025-06-12T00:00:00"/>
    <x v="5"/>
  </r>
  <r>
    <n v="42651"/>
    <s v="MARIA REGINA PERREIRA DA SILVA"/>
    <s v="16/06/2025 11:21:42:037"/>
    <n v="40595"/>
    <s v="ARGAMASSA RORAIMASSA AC1 20KG"/>
    <n v="12"/>
    <n v="12"/>
    <n v="29.9"/>
    <n v="0"/>
    <n v="358.8"/>
    <n v="0"/>
    <d v="2025-06-16T00:00:00"/>
    <x v="5"/>
  </r>
  <r>
    <n v="45019"/>
    <s v="EDESON RODRIGO GUEDES SILVA CRUZ"/>
    <s v="16/06/2025 11:37:32:218"/>
    <n v="2851"/>
    <s v="ARGAMASSA SIKA PORCELANATO GRES 20KG"/>
    <n v="15"/>
    <n v="15"/>
    <n v="51.9"/>
    <n v="0"/>
    <n v="778.5"/>
    <n v="0"/>
    <d v="2025-06-16T00:00:00"/>
    <x v="5"/>
  </r>
  <r>
    <n v="6107"/>
    <s v="ALTEMAR RIOS DA SILVA"/>
    <s v="18/06/2025 16:13:12:264"/>
    <n v="40595"/>
    <s v="ARGAMASSA RORAIMASSA AC1 20KG"/>
    <n v="10"/>
    <n v="10"/>
    <n v="29.9"/>
    <n v="0"/>
    <n v="299"/>
    <n v="0"/>
    <d v="2025-06-18T00:00:00"/>
    <x v="5"/>
  </r>
  <r>
    <n v="6107"/>
    <s v="ALTEMAR RIOS DA SILVA"/>
    <s v="18/06/2025 16:13:12:264"/>
    <n v="33673"/>
    <s v="PISO 54X54 FREMONT BR ARIELLE (2,62) (FORA LINHA)"/>
    <n v="2.62"/>
    <n v="2.62"/>
    <n v="44.9"/>
    <n v="0"/>
    <n v="117.63800000000001"/>
    <n v="0"/>
    <d v="2025-06-18T00:00:00"/>
    <x v="5"/>
  </r>
  <r>
    <n v="6107"/>
    <s v="ALTEMAR RIOS DA SILVA"/>
    <s v="18/06/2025 16:13:12:264"/>
    <n v="33673"/>
    <s v="PISO 54X54 FREMONT BR ARIELLE (2,62) (FORA LINHA)"/>
    <n v="7.86"/>
    <n v="7.86"/>
    <n v="44.9"/>
    <n v="0"/>
    <n v="352.91399999999999"/>
    <n v="0"/>
    <d v="2025-06-18T00:00:00"/>
    <x v="5"/>
  </r>
  <r>
    <n v="1033093"/>
    <s v="RODRIGO MACIEL"/>
    <s v="18/06/2025 16:32:28:421"/>
    <n v="3873"/>
    <s v="REJUNTE WEBER FLEXIVEL CORDA 1KG"/>
    <n v="1"/>
    <n v="1"/>
    <n v="18.899999999999999"/>
    <n v="0"/>
    <n v="18.899999999999999"/>
    <n v="0"/>
    <d v="2025-06-18T00:00:00"/>
    <x v="5"/>
  </r>
  <r>
    <n v="1033093"/>
    <s v="RODRIGO MACIEL"/>
    <s v="18/06/2025 16:32:28:421"/>
    <n v="59920"/>
    <s v="REVEST 32,5X57 RVI57150 INCENOR (2,21)"/>
    <n v="2.21"/>
    <n v="2.21"/>
    <n v="43.9"/>
    <n v="0"/>
    <n v="97.019000000000005"/>
    <n v="0"/>
    <d v="2025-06-18T00:00:00"/>
    <x v="5"/>
  </r>
  <r>
    <n v="40843"/>
    <s v="JOSE RIBAMAR SILVA FILHO"/>
    <s v="19/06/2025 08:22:54:104"/>
    <n v="59948"/>
    <s v="PISO 58X58 PSI66460 INCENOR (2,68)"/>
    <n v="2.68"/>
    <n v="2.68"/>
    <n v="45.9"/>
    <n v="0"/>
    <n v="123.012"/>
    <n v="0"/>
    <d v="2025-06-19T00:00:00"/>
    <x v="5"/>
  </r>
  <r>
    <n v="1047151"/>
    <s v="JOHNY SILVA CRUZ"/>
    <s v="20/06/2025 10:54:14:479"/>
    <n v="7921"/>
    <s v="PISO 57X57 NEVE CERBRAS (2,62) PEI-5"/>
    <n v="2.62"/>
    <n v="2.62"/>
    <n v="52.9"/>
    <n v="0"/>
    <n v="138.59800000000001"/>
    <n v="0"/>
    <d v="2025-06-20T00:00:00"/>
    <x v="5"/>
  </r>
  <r>
    <n v="1023444"/>
    <s v="AIRTON PEREIRA LIMA"/>
    <d v="2025-06-20T14:00:00"/>
    <n v="2851"/>
    <s v="ARGAMASSA SIKA PORCELANATO GRES 20KG"/>
    <n v="10"/>
    <n v="10"/>
    <n v="51.9"/>
    <n v="0"/>
    <n v="519"/>
    <n v="0"/>
    <d v="2025-06-20T00:00:00"/>
    <x v="5"/>
  </r>
  <r>
    <n v="54799"/>
    <s v="IDELANDIA PEREIRA SILVA"/>
    <s v="23/06/2025 17:23:58:343"/>
    <n v="4694"/>
    <s v="REJUNTE WEBER PMG CINZA PLATINA 1KG"/>
    <n v="3"/>
    <n v="1"/>
    <n v="26.9"/>
    <n v="2"/>
    <n v="26.9"/>
    <n v="53.8"/>
    <d v="2025-06-23T00:00:00"/>
    <x v="5"/>
  </r>
  <r>
    <n v="70016"/>
    <s v="FRANCISCO DE CASTRO REIS"/>
    <s v="24/06/2025 08:58:48:337"/>
    <n v="17268"/>
    <s v="ARGAMASSA SIKA AC3 PERFORMANCE CINZA 20KG"/>
    <n v="2"/>
    <n v="2"/>
    <n v="69.900000000000006"/>
    <n v="0"/>
    <n v="139.80000000000001"/>
    <n v="0"/>
    <d v="2025-06-24T00:00:00"/>
    <x v="5"/>
  </r>
  <r>
    <n v="70016"/>
    <s v="FRANCISCO DE CASTRO REIS"/>
    <s v="24/06/2025 08:58:48:337"/>
    <n v="2851"/>
    <s v="ARGAMASSA SIKA PORCELANATO GRES 20KG"/>
    <n v="4"/>
    <n v="4"/>
    <n v="51.9"/>
    <n v="0"/>
    <n v="207.6"/>
    <n v="0"/>
    <d v="2025-06-24T00:00:00"/>
    <x v="5"/>
  </r>
  <r>
    <n v="1012436"/>
    <s v="RAIMUNDA EVA PEREIRA DOS REIS"/>
    <s v="25/06/2025 08:30:50:551"/>
    <n v="8234"/>
    <s v="AGUARRAS 0,9L SUVINIL 53447358"/>
    <n v="1"/>
    <n v="1"/>
    <n v="26.9"/>
    <n v="0"/>
    <n v="26.9"/>
    <n v="0"/>
    <d v="2025-06-25T00:00:00"/>
    <x v="5"/>
  </r>
  <r>
    <n v="26751"/>
    <s v="IRACY PEREIRA DE AMORIN"/>
    <s v="25/06/2025 12:29:39:772"/>
    <n v="59938"/>
    <s v="PISO 58X58 PSI66970 INCENOR (2,68)"/>
    <n v="2.68"/>
    <n v="2.68"/>
    <n v="45.9"/>
    <n v="0"/>
    <n v="123.012"/>
    <n v="0"/>
    <d v="2025-06-25T00:00:00"/>
    <x v="5"/>
  </r>
  <r>
    <n v="7920"/>
    <s v="PAULO FARIAS"/>
    <s v="25/06/2025 12:42:58:134"/>
    <n v="2682"/>
    <s v="ARGAMASSA WEBER PORCE S/PISO INT CZ 20KG"/>
    <n v="3"/>
    <n v="3"/>
    <n v="82.9"/>
    <n v="0"/>
    <n v="248.7"/>
    <n v="0"/>
    <d v="2025-06-25T00:00:00"/>
    <x v="5"/>
  </r>
  <r>
    <n v="1045122"/>
    <s v="JOSEMAR MENDES DO NASCIMENTO"/>
    <s v="25/06/2025 13:09:55:184"/>
    <n v="901"/>
    <s v="ARGAMASSA WEBER PORCELANATO INT CZ 20KG"/>
    <n v="1"/>
    <n v="1"/>
    <n v="59.9"/>
    <n v="0"/>
    <n v="59.9"/>
    <n v="0"/>
    <d v="2025-06-25T00:00:00"/>
    <x v="5"/>
  </r>
  <r>
    <n v="1021234"/>
    <s v="REGINALDO BATISTA DE OLIVEIRA 05245995999"/>
    <s v="26/06/2025 11:22:08:318"/>
    <n v="53253"/>
    <s v="CANALETA 2,5X15 ATOL TURQUESA E MA DECORTILES (PC)"/>
    <n v="20"/>
    <n v="20"/>
    <n v="26.9"/>
    <n v="0"/>
    <n v="538"/>
    <n v="0"/>
    <d v="2025-06-26T00:00:00"/>
    <x v="5"/>
  </r>
  <r>
    <n v="1021234"/>
    <s v="REGINALDO BATISTA DE OLIVEIRA 05245995999"/>
    <s v="26/06/2025 11:22:08:318"/>
    <n v="53253"/>
    <s v="CANALETA 2,5X15 ATOL TURQUESA E MA DECORTILES (PC)"/>
    <n v="60"/>
    <n v="60"/>
    <n v="26.9"/>
    <n v="0"/>
    <n v="1614"/>
    <n v="0"/>
    <d v="2025-06-26T00:00:00"/>
    <x v="5"/>
  </r>
  <r>
    <n v="1004538"/>
    <s v="CECI DE ANDRADE RODRIGUES"/>
    <s v="26/06/2025 12:06:20:85"/>
    <n v="41"/>
    <s v="ARGAMASSA WEBER AC1 20KG"/>
    <n v="1"/>
    <n v="1"/>
    <n v="43.9"/>
    <n v="0"/>
    <n v="43.9"/>
    <n v="0"/>
    <d v="2025-06-26T00:00:00"/>
    <x v="5"/>
  </r>
  <r>
    <n v="1004538"/>
    <s v="CECI DE ANDRADE RODRIGUES"/>
    <s v="26/06/2025 12:06:20:85"/>
    <n v="14547"/>
    <s v="TINTA SV5 TOQ SEDA *A2* 16,0 E2-GELO RM012"/>
    <n v="1"/>
    <n v="1"/>
    <n v="895.49099999999999"/>
    <n v="0"/>
    <n v="895.49099999999999"/>
    <n v="0"/>
    <d v="2025-06-26T00:00:00"/>
    <x v="5"/>
  </r>
  <r>
    <n v="119"/>
    <s v="ELIZANGELA BARROS DE ANDRADE"/>
    <s v="27/06/2025 15:37:30:247"/>
    <n v="8107"/>
    <s v="PISO 45X45 ALLURE PT FORMIGRES (2,00)PEI.2-1F"/>
    <n v="2"/>
    <n v="2"/>
    <n v="44.9"/>
    <n v="0"/>
    <n v="89.8"/>
    <n v="0"/>
    <d v="2025-06-27T00:00:00"/>
    <x v="5"/>
  </r>
  <r>
    <n v="1048345"/>
    <s v="ALCINEDE FEITOSA DOS SANTOS YANO"/>
    <s v="30/06/2025 15:54:37:56"/>
    <n v="34937"/>
    <s v="PORCE 26X106 LEGNO MASO EXT BIANCOGRES (2,00)"/>
    <n v="2"/>
    <n v="2"/>
    <n v="129.9"/>
    <n v="0"/>
    <n v="259.8"/>
    <n v="0"/>
    <d v="2025-06-30T00:00:00"/>
    <x v="5"/>
  </r>
  <r>
    <n v="1036241"/>
    <s v="PAMELA HORRANA DA SILVA COELHO"/>
    <d v="2025-07-01T16:34:15"/>
    <n v="47671"/>
    <s v="NICHO 50X30 PORCELANATO BV PISOS"/>
    <n v="1"/>
    <n v="1"/>
    <n v="299.89999999999998"/>
    <n v="0"/>
    <n v="299.89999999999998"/>
    <n v="0"/>
    <d v="2025-07-01T00:00:00"/>
    <x v="6"/>
  </r>
  <r>
    <n v="41256"/>
    <s v="A P DE C BARROS E CIA LTDA"/>
    <d v="2025-07-02T00:00:00"/>
    <n v="60502"/>
    <s v="KIT COMPLETO AXIS TOTAL PLUS KP470017 DECA"/>
    <n v="3"/>
    <n v="3"/>
    <n v="1590.9"/>
    <n v="0"/>
    <n v="4772.7"/>
    <n v="0"/>
    <d v="2025-07-02T00:00:00"/>
    <x v="6"/>
  </r>
  <r>
    <n v="1048669"/>
    <s v="CARLOS RONALD NASCIMENTO TRINDADE"/>
    <s v="02/07/2025 08:58:52:419"/>
    <n v="239"/>
    <s v="REJUNTE WEBER PMG CORDA 1KG"/>
    <n v="4"/>
    <n v="4"/>
    <n v="26.9"/>
    <n v="0"/>
    <n v="107.6"/>
    <n v="0"/>
    <d v="2025-07-02T00:00:00"/>
    <x v="6"/>
  </r>
  <r>
    <n v="1045962"/>
    <s v="CLEUDINAR PEREIRA ALENCA"/>
    <s v="02/07/2025 09:32:42:463"/>
    <n v="15682"/>
    <s v="PISO 61X61 EVIDENCE CZ FORMIGRES (2,23)PEI.5-3F"/>
    <n v="4.46"/>
    <n v="4.46"/>
    <n v="46.9"/>
    <n v="0"/>
    <n v="209.17400000000001"/>
    <n v="0"/>
    <d v="2025-07-02T00:00:00"/>
    <x v="6"/>
  </r>
  <r>
    <n v="1048608"/>
    <s v="KEISON SOUZA DOS SANTOS"/>
    <s v="02/07/2025 10:36:22:343"/>
    <n v="51364"/>
    <s v="PORCE 58X58 PTG58520R SAO TOME GR TECNOGRES(2,03)  LU-V4-4F"/>
    <n v="2.0299999999999998"/>
    <n v="2.0299999999999998"/>
    <n v="73.900000000000006"/>
    <n v="0"/>
    <n v="150.017"/>
    <n v="0"/>
    <d v="2025-07-02T00:00:00"/>
    <x v="6"/>
  </r>
  <r>
    <n v="1048462"/>
    <s v="ROSANGELA FERREIRA SILVA"/>
    <d v="2025-07-04T08:00:00"/>
    <n v="31708"/>
    <s v="PORCE 70X70 TECHNATTO WHITE MATTE CERBRAS (2,00)"/>
    <n v="2"/>
    <n v="2"/>
    <n v="83.9"/>
    <n v="0"/>
    <n v="167.8"/>
    <n v="0"/>
    <d v="2025-07-04T00:00:00"/>
    <x v="6"/>
  </r>
  <r>
    <n v="1047208"/>
    <s v="BOX  GRILL IND &amp; COM LTDA"/>
    <d v="2025-07-04T10:33:01"/>
    <n v="8270"/>
    <s v="TINTA SUVINIL PISO CONCRETO PURO 18L 50520000"/>
    <n v="1"/>
    <n v="1"/>
    <n v="413.9"/>
    <n v="0"/>
    <n v="413.9"/>
    <n v="0"/>
    <d v="2025-07-04T00:00:00"/>
    <x v="6"/>
  </r>
  <r>
    <n v="1047864"/>
    <s v="RAIMUNDA GONZAGA DA SILVA"/>
    <s v="08/07/2025 11:57:49:572"/>
    <n v="5458"/>
    <s v="PISO 45X45 ZAIRE FORMIGRES (2,00)PEI.4-1F 3"/>
    <n v="4"/>
    <n v="4"/>
    <n v="44.9"/>
    <n v="0"/>
    <n v="179.6"/>
    <n v="0"/>
    <d v="2025-07-08T00:00:00"/>
    <x v="6"/>
  </r>
  <r>
    <n v="54799"/>
    <s v="IDELANDIA PEREIRA SILVA"/>
    <s v="09/07/2025 16:08:46:4"/>
    <n v="38"/>
    <s v="REJUNTE WEBER FLEXIVEL CINZA PLATINA 1KG"/>
    <n v="1"/>
    <n v="1"/>
    <n v="18.899999999999999"/>
    <n v="0"/>
    <n v="18.899999999999999"/>
    <n v="0"/>
    <d v="2025-07-09T00:00:00"/>
    <x v="6"/>
  </r>
  <r>
    <n v="54799"/>
    <s v="IDELANDIA PEREIRA SILVA"/>
    <s v="09/07/2025 16:08:46:4"/>
    <n v="39"/>
    <s v="REJUNTE WEBER FLEXIVEL PRETO GRAFITE 1KG"/>
    <n v="1"/>
    <n v="1"/>
    <n v="18.899999999999999"/>
    <n v="0"/>
    <n v="18.899999999999999"/>
    <n v="0"/>
    <d v="2025-07-09T00:00:00"/>
    <x v="6"/>
  </r>
  <r>
    <n v="1041027"/>
    <s v="LEONARDO ALVES MARIANO"/>
    <s v="09/07/2025 16:23:14:856"/>
    <n v="40595"/>
    <s v="ARGAMASSA RORAIMASSA AC1 20KG"/>
    <n v="3"/>
    <n v="3"/>
    <n v="29.9"/>
    <n v="0"/>
    <n v="89.7"/>
    <n v="0"/>
    <d v="2025-07-09T00:00:00"/>
    <x v="6"/>
  </r>
  <r>
    <n v="1041027"/>
    <s v="LEONARDO ALVES MARIANO"/>
    <s v="09/07/2025 16:23:14:856"/>
    <n v="39"/>
    <s v="REJUNTE WEBER FLEXIVEL PRETO GRAFITE 1KG"/>
    <n v="3"/>
    <n v="3"/>
    <n v="18.899999999999999"/>
    <n v="0"/>
    <n v="56.7"/>
    <n v="0"/>
    <d v="2025-07-09T00:00:00"/>
    <x v="6"/>
  </r>
  <r>
    <n v="1010262"/>
    <s v="RONILSON CARVALHO"/>
    <s v="09/07/2025 16:53:00:93"/>
    <n v="13984"/>
    <s v="MASSA CORRIDA 25KG SUVINIL 50687535"/>
    <n v="1"/>
    <n v="1"/>
    <n v="109.9"/>
    <n v="0"/>
    <n v="109.9"/>
    <n v="0"/>
    <d v="2025-07-09T00:00:00"/>
    <x v="6"/>
  </r>
  <r>
    <n v="47787"/>
    <s v="WIVIA TEXEIRA DE ARAUJO"/>
    <s v="10/07/2025 09:11:09:585"/>
    <n v="17268"/>
    <s v="ARGAMASSA SIKA AC3 PERFORMANCE CINZA 20KG"/>
    <n v="4"/>
    <n v="4"/>
    <n v="69.900000000000006"/>
    <n v="0"/>
    <n v="279.60000000000002"/>
    <n v="0"/>
    <d v="2025-07-10T00:00:00"/>
    <x v="6"/>
  </r>
  <r>
    <n v="11068"/>
    <s v="MAGDIEL STERFANO VERA COELHO PIRES"/>
    <s v="10/07/2025 18:08:26:683"/>
    <n v="54"/>
    <s v="ARGAMASSA WEBER AC3 CINZA 20KG"/>
    <n v="1"/>
    <n v="1"/>
    <n v="105.9"/>
    <n v="0"/>
    <n v="105.9"/>
    <n v="0"/>
    <d v="2025-07-10T00:00:00"/>
    <x v="6"/>
  </r>
  <r>
    <n v="1021839"/>
    <s v="ATLAS ENGENHARIA LTDA"/>
    <s v="11/07/2025 09:40:00:041"/>
    <n v="40595"/>
    <s v="ARGAMASSA RORAIMASSA AC1 20KG"/>
    <n v="4"/>
    <n v="4"/>
    <n v="29.9"/>
    <n v="0"/>
    <n v="119.6"/>
    <n v="0"/>
    <d v="2025-07-11T00:00:00"/>
    <x v="6"/>
  </r>
  <r>
    <n v="1042734"/>
    <s v="ROXANA LARRAÑAGA"/>
    <s v="11/07/2025 16:35:11:292"/>
    <n v="51441"/>
    <s v="PISO 81X81 LOMBARDIA BEGE GOT FORMIGRES (1,97)"/>
    <n v="1.97"/>
    <n v="1.97"/>
    <n v="59.9"/>
    <n v="0"/>
    <n v="118.003"/>
    <n v="0"/>
    <d v="2025-07-11T00:00:00"/>
    <x v="6"/>
  </r>
  <r>
    <n v="99143"/>
    <s v="FRANCISCO MONTEIRO DE SOUSA FILHO"/>
    <s v="15/07/2025 16:35:48:815"/>
    <n v="40595"/>
    <s v="ARGAMASSA RORAIMASSA AC1 20KG"/>
    <n v="1"/>
    <n v="1"/>
    <n v="29.9"/>
    <n v="0"/>
    <n v="29.9"/>
    <n v="0"/>
    <d v="2025-07-15T00:00:00"/>
    <x v="6"/>
  </r>
  <r>
    <n v="99143"/>
    <s v="FRANCISCO MONTEIRO DE SOUSA FILHO"/>
    <s v="15/07/2025 16:35:48:815"/>
    <n v="49099"/>
    <s v="PISO 67X67 RET GERANIO LUX ARIELLE (2,71) (FORA LINHA)"/>
    <n v="2.71"/>
    <n v="2.71"/>
    <n v="51.9"/>
    <n v="0"/>
    <n v="140.649"/>
    <n v="0"/>
    <d v="2025-07-15T00:00:00"/>
    <x v="6"/>
  </r>
  <r>
    <n v="1041988"/>
    <s v="MARIA DO SOCORRO PAIXAO FARIAS"/>
    <s v="16/07/2025 09:33:05:061"/>
    <n v="40595"/>
    <s v="ARGAMASSA RORAIMASSA AC1 20KG"/>
    <n v="2"/>
    <n v="2"/>
    <n v="29.9"/>
    <n v="0"/>
    <n v="59.8"/>
    <n v="0"/>
    <d v="2025-07-16T00:00:00"/>
    <x v="6"/>
  </r>
  <r>
    <n v="1041988"/>
    <s v="MARIA DO SOCORRO PAIXAO FARIAS"/>
    <s v="16/07/2025 09:33:05:061"/>
    <n v="37"/>
    <s v="REJUNTE WEBER FLEXIVEL BRANCO 1KG"/>
    <n v="2"/>
    <n v="2"/>
    <n v="18.899999999999999"/>
    <n v="0"/>
    <n v="37.799999999999997"/>
    <n v="0"/>
    <d v="2025-07-16T00:00:00"/>
    <x v="6"/>
  </r>
  <r>
    <n v="1021790"/>
    <s v="DARWIN ABRAHAM EDUARDO BRITO BOLIVA"/>
    <s v="18/07/2025 11:18:29:038"/>
    <n v="14684"/>
    <s v="PORCE 58,4X117 OPERA WH PO PORTINARI (1,37)LD-V3-7F"/>
    <n v="2.74"/>
    <n v="2.74"/>
    <n v="334.9"/>
    <n v="0"/>
    <n v="917.62599999999998"/>
    <n v="0"/>
    <d v="2025-07-18T00:00:00"/>
    <x v="6"/>
  </r>
  <r>
    <n v="59032"/>
    <s v="RAIMUNDA ALVES FERNANDES QUEIROZ"/>
    <s v="18/07/2025 11:27:38:249"/>
    <n v="40474"/>
    <s v="REJUNTE WEBER PMG MARROM CANELA 1KG"/>
    <n v="5"/>
    <n v="5"/>
    <n v="24.9"/>
    <n v="0"/>
    <n v="124.5"/>
    <n v="0"/>
    <d v="2025-07-18T00:00:00"/>
    <x v="6"/>
  </r>
  <r>
    <n v="1048893"/>
    <s v="ALICE PEREIRA DA SILVA"/>
    <s v="21/07/2025 10:16:17:577"/>
    <n v="48002"/>
    <s v="PISO 46X46 IPANEMA BEGE CERBRAS (2,30)"/>
    <n v="2.2999999999999998"/>
    <n v="2.2999999999999998"/>
    <n v="40.9"/>
    <n v="0"/>
    <n v="94.07"/>
    <n v="0"/>
    <d v="2025-07-21T00:00:00"/>
    <x v="6"/>
  </r>
  <r>
    <n v="1033717"/>
    <s v="ANDRELINA DE ARAUJO FAVELA"/>
    <s v="21/07/2025 12:06:11:5"/>
    <n v="13983"/>
    <s v="MASSA ACRILICA 25KG SUVINIL 50687486"/>
    <n v="2"/>
    <n v="2"/>
    <n v="169.9"/>
    <n v="0"/>
    <n v="339.8"/>
    <n v="0"/>
    <d v="2025-07-21T00:00:00"/>
    <x v="6"/>
  </r>
  <r>
    <n v="789"/>
    <s v="CARLOS NETO OLIVEIRA DE SOUSA"/>
    <s v="23/07/2025 11:51:22:16"/>
    <n v="40595"/>
    <s v="ARGAMASSA RORAIMASSA AC1 20KG"/>
    <n v="6"/>
    <n v="6"/>
    <n v="29.9"/>
    <n v="0"/>
    <n v="179.4"/>
    <n v="0"/>
    <d v="2025-07-23T00:00:00"/>
    <x v="6"/>
  </r>
  <r>
    <n v="789"/>
    <s v="CARLOS NETO OLIVEIRA DE SOUSA"/>
    <s v="23/07/2025 11:51:22:16"/>
    <n v="8127"/>
    <s v="PISO 46X46 MANAUS CINZA CERBRAS (2,30)PEI.4-V2-1F"/>
    <n v="16.100000000000001"/>
    <n v="16.100000000000001"/>
    <n v="43.9"/>
    <n v="0"/>
    <n v="706.79"/>
    <n v="0"/>
    <d v="2025-07-23T00:00:00"/>
    <x v="6"/>
  </r>
  <r>
    <n v="789"/>
    <s v="CARLOS NETO OLIVEIRA DE SOUSA"/>
    <s v="23/07/2025 11:51:22:16"/>
    <n v="38"/>
    <s v="REJUNTE WEBER FLEXIVEL CINZA PLATINA 1KG"/>
    <n v="2"/>
    <n v="2"/>
    <n v="18.899999999999999"/>
    <n v="0"/>
    <n v="37.799999999999997"/>
    <n v="0"/>
    <d v="2025-07-23T00:00:00"/>
    <x v="6"/>
  </r>
  <r>
    <n v="1049382"/>
    <s v="GRACILEIA SANTANA"/>
    <s v="30/07/2025 13:07:15:675"/>
    <n v="29497"/>
    <s v="CUBA EMB PERFECTA PO 47X30 94052/407 TRAMONTINA"/>
    <n v="1"/>
    <n v="1"/>
    <n v="302.89999999999998"/>
    <n v="0"/>
    <n v="302.89999999999998"/>
    <n v="0"/>
    <d v="2025-07-30T00:00:00"/>
    <x v="6"/>
  </r>
  <r>
    <n v="2530"/>
    <s v="CARMEN DA COSTA VAZ"/>
    <s v="30/07/2025 16:04:51:411"/>
    <n v="54"/>
    <s v="ARGAMASSA WEBER AC3 CINZA 20KG"/>
    <n v="3"/>
    <n v="3"/>
    <n v="105.9"/>
    <n v="0"/>
    <n v="317.7"/>
    <n v="0"/>
    <d v="2025-07-30T00:00:00"/>
    <x v="6"/>
  </r>
  <r>
    <n v="2530"/>
    <s v="CARMEN DA COSTA VAZ"/>
    <s v="30/07/2025 16:04:51:411"/>
    <n v="39028"/>
    <s v="PISO 54X54 OLIMPO AD ARIELLE (2,62)LE-V3-4F"/>
    <n v="5.24"/>
    <n v="5.24"/>
    <n v="44.9"/>
    <n v="0"/>
    <n v="235.27600000000001"/>
    <n v="0"/>
    <d v="2025-07-30T00:00:00"/>
    <x v="6"/>
  </r>
  <r>
    <n v="24693"/>
    <s v="RAIMUNDO HENRIQUE BEZERRA"/>
    <s v="31/07/2025 11:38:28:655"/>
    <n v="41443"/>
    <s v="PISO 60X120 GRAN IMPERIUM DARK  FORMIGRES (2,16) LB-V3-4F"/>
    <n v="10.8"/>
    <n v="10.8"/>
    <n v="89.9"/>
    <n v="0"/>
    <n v="970.92"/>
    <n v="0"/>
    <d v="2025-07-31T00:00:00"/>
    <x v="6"/>
  </r>
  <r>
    <n v="24693"/>
    <s v="RAIMUNDO HENRIQUE BEZERRA"/>
    <s v="31/07/2025 11:38:28:655"/>
    <n v="60306"/>
    <s v="PORCE 90X90 AGRA GIZ POL DECORTILES (2,43)"/>
    <n v="43.74"/>
    <n v="43.74"/>
    <n v="169.9"/>
    <n v="0"/>
    <n v="7431.4260000000004"/>
    <n v="0"/>
    <d v="2025-07-31T00:00:00"/>
    <x v="6"/>
  </r>
  <r>
    <n v="1026632"/>
    <s v="US SANTOS EIRELLI"/>
    <s v="01/08/2025 11:06:01:599"/>
    <n v="48002"/>
    <s v="PISO 46X46 IPANEMA BEGE CERBRAS (2,30)"/>
    <n v="4.5999999999999996"/>
    <n v="4.5999999999999996"/>
    <n v="40.9"/>
    <n v="0"/>
    <n v="188.14"/>
    <n v="0"/>
    <d v="2025-08-01T00:00:00"/>
    <x v="7"/>
  </r>
  <r>
    <n v="1026632"/>
    <s v="US SANTOS EIRELLI"/>
    <s v="01/08/2025 11:06:01:599"/>
    <n v="48002"/>
    <s v="PISO 46X46 IPANEMA BEGE CERBRAS (2,30)"/>
    <n v="2.2999999999999998"/>
    <n v="2.2999999999999998"/>
    <n v="40.9"/>
    <n v="0"/>
    <n v="94.07"/>
    <n v="0"/>
    <d v="2025-08-01T00:00:00"/>
    <x v="7"/>
  </r>
  <r>
    <n v="1019423"/>
    <s v="CRISTINA FRANÇA DE ALMEIDA"/>
    <s v="05/08/2025 12:32:35:837"/>
    <n v="50518"/>
    <s v="PORCE 76X76 PPO76320R TRAJETORIA TECNOGRES (2,31)LI-V3-4F"/>
    <n v="2.31"/>
    <n v="2.31"/>
    <n v="104.9"/>
    <n v="0"/>
    <n v="242.31899999999999"/>
    <n v="0"/>
    <d v="2025-08-05T00:00:00"/>
    <x v="7"/>
  </r>
  <r>
    <n v="1027843"/>
    <s v="ALINE MONTEIRO DE MACEDO LIRA"/>
    <s v="06/08/2025 11:16:23:521"/>
    <n v="60572"/>
    <s v="PISO 63X63 PSI63800R INCENOR (2,79)"/>
    <n v="2.79"/>
    <n v="2.79"/>
    <n v="49.9"/>
    <n v="0"/>
    <n v="139.221"/>
    <n v="0"/>
    <d v="2025-08-06T00:00:00"/>
    <x v="7"/>
  </r>
  <r>
    <n v="1035893"/>
    <s v="FRANCISCO EDIMILSON ALVES"/>
    <s v="06/08/2025 13:06:33:476"/>
    <n v="64933"/>
    <s v="TINTA SV TOQ LUZ *A2* 0,8 E2-DENTE-DE-LEÃO A018"/>
    <n v="1"/>
    <n v="1"/>
    <n v="80.86"/>
    <n v="0"/>
    <n v="80.86"/>
    <n v="0"/>
    <d v="2025-08-06T00:00:00"/>
    <x v="7"/>
  </r>
  <r>
    <n v="1008968"/>
    <s v="ROSA MARIAFERREIRA SA"/>
    <s v="06/08/2025 13:12:14:107"/>
    <n v="4691"/>
    <s v="ARGAMASSA WEBER COZINHAS/BANHEIROS 20KG"/>
    <n v="1"/>
    <n v="1"/>
    <n v="51.9"/>
    <n v="0"/>
    <n v="51.9"/>
    <n v="0"/>
    <d v="2025-08-06T00:00:00"/>
    <x v="7"/>
  </r>
  <r>
    <n v="1031312"/>
    <s v="EMERSON 99121-2593"/>
    <s v="06/08/2025 15:59:34:108"/>
    <n v="60267"/>
    <s v="SELANTE PU40 PRETO 360G WEBER"/>
    <n v="1"/>
    <n v="1"/>
    <n v="20.9"/>
    <n v="0"/>
    <n v="20.9"/>
    <n v="0"/>
    <d v="2025-08-06T00:00:00"/>
    <x v="7"/>
  </r>
  <r>
    <n v="1049170"/>
    <s v="JONISSON GOLZAGA"/>
    <d v="2025-08-07T08:45:42"/>
    <n v="40595"/>
    <s v="ARGAMASSA RORAIMASSA AC1 20KG"/>
    <n v="3"/>
    <n v="3"/>
    <n v="29.9"/>
    <n v="0"/>
    <n v="89.7"/>
    <n v="0"/>
    <d v="2025-08-07T00:00:00"/>
    <x v="7"/>
  </r>
  <r>
    <n v="1017077"/>
    <s v="CLEUDIMAR DE SOUZA FONTORA"/>
    <s v="07/08/2025 09:36:17:988"/>
    <n v="39326"/>
    <s v="REVEST 32X66 AVOLIO PO FORMIGRES (1,69)"/>
    <n v="1.69"/>
    <n v="1.69"/>
    <n v="79.900000000000006"/>
    <n v="0"/>
    <n v="135.03100000000001"/>
    <n v="0"/>
    <d v="2025-08-07T00:00:00"/>
    <x v="7"/>
  </r>
  <r>
    <n v="1027483"/>
    <s v="LUCAS ARAUJO LOURETO FORTE"/>
    <s v="11/08/2025 12:00:48:05"/>
    <n v="732"/>
    <s v="SIFAO SANFONADO SSUM-BR1 ASTRA UNIV"/>
    <n v="1"/>
    <n v="1"/>
    <n v="8.9"/>
    <n v="0"/>
    <n v="8.9"/>
    <n v="0"/>
    <d v="2025-08-11T00:00:00"/>
    <x v="7"/>
  </r>
  <r>
    <n v="1049788"/>
    <s v="FERNANDA DE ARAUJO MACHADO"/>
    <s v="13/08/2025 17:39:17:916"/>
    <n v="59942"/>
    <s v="PISO 58X58 PSI66470 INCENOR (2,68)"/>
    <n v="16.079999999999998"/>
    <n v="16.079999999999998"/>
    <n v="45.9"/>
    <n v="0"/>
    <n v="738.072"/>
    <n v="0"/>
    <d v="2025-08-13T00:00:00"/>
    <x v="7"/>
  </r>
  <r>
    <n v="1042689"/>
    <s v="FRANKER WENDELL"/>
    <s v="14/08/2025 11:06:00:479"/>
    <n v="7936"/>
    <s v="REJUNTE WEBER PMG CINZA OUTONO 1KG"/>
    <n v="5"/>
    <n v="5"/>
    <n v="26.9"/>
    <n v="0"/>
    <n v="134.5"/>
    <n v="0"/>
    <d v="2025-08-14T00:00:00"/>
    <x v="7"/>
  </r>
  <r>
    <n v="1033717"/>
    <s v="ANDRELINA DE ARAUJO FAVELA"/>
    <s v="14/08/2025 17:29:28:135"/>
    <n v="54"/>
    <s v="ARGAMASSA WEBER AC3 CINZA 20KG"/>
    <n v="1"/>
    <n v="1"/>
    <n v="105.9"/>
    <n v="0"/>
    <n v="105.9"/>
    <n v="0"/>
    <d v="2025-08-14T00:00:00"/>
    <x v="7"/>
  </r>
  <r>
    <n v="1033717"/>
    <s v="ANDRELINA DE ARAUJO FAVELA"/>
    <s v="14/08/2025 17:29:28:135"/>
    <n v="239"/>
    <s v="REJUNTE WEBER PMG CORDA 1KG"/>
    <n v="1"/>
    <n v="1"/>
    <n v="26.9"/>
    <n v="0"/>
    <n v="26.9"/>
    <n v="0"/>
    <d v="2025-08-14T00:00:00"/>
    <x v="7"/>
  </r>
  <r>
    <n v="1049792"/>
    <s v="JOEL PERLEY PEIXOTO HABERTE"/>
    <s v="15/08/2025 11:40:20:539"/>
    <n v="40894"/>
    <s v="ARGAMASSA RORAIMASSA AC3 20KG"/>
    <n v="7"/>
    <n v="7"/>
    <n v="65.900000000000006"/>
    <n v="0"/>
    <n v="461.3"/>
    <n v="0"/>
    <d v="2025-08-15T00:00:00"/>
    <x v="7"/>
  </r>
  <r>
    <n v="1049792"/>
    <s v="JOEL PERLEY PEIXOTO HABERTE"/>
    <s v="15/08/2025 11:40:20:539"/>
    <n v="41"/>
    <s v="ARGAMASSA WEBER AC1 20KG"/>
    <n v="6"/>
    <n v="6"/>
    <n v="43.9"/>
    <n v="0"/>
    <n v="263.39999999999998"/>
    <n v="0"/>
    <d v="2025-08-15T00:00:00"/>
    <x v="7"/>
  </r>
  <r>
    <n v="1049792"/>
    <s v="JOEL PERLEY PEIXOTO HABERTE"/>
    <s v="15/08/2025 11:40:20:539"/>
    <n v="59934"/>
    <s v="PISO 58X58 PSI66210 INCENOR (2,68)"/>
    <n v="5.36"/>
    <n v="5.36"/>
    <n v="45.9"/>
    <n v="0"/>
    <n v="246.024"/>
    <n v="0"/>
    <d v="2025-08-15T00:00:00"/>
    <x v="7"/>
  </r>
  <r>
    <n v="1049792"/>
    <s v="JOEL PERLEY PEIXOTO HABERTE"/>
    <s v="15/08/2025 11:40:20:539"/>
    <n v="42629"/>
    <s v="PISO 67X67 RET RIVIERA BRANCO BR ARIELLE (2,71) LC-V1-F1"/>
    <n v="16.260000000000002"/>
    <n v="16.260000000000002"/>
    <n v="51.9"/>
    <n v="0"/>
    <n v="843.89400000000001"/>
    <n v="0"/>
    <d v="2025-08-15T00:00:00"/>
    <x v="7"/>
  </r>
  <r>
    <n v="1049792"/>
    <s v="JOEL PERLEY PEIXOTO HABERTE"/>
    <s v="15/08/2025 11:40:20:539"/>
    <n v="4694"/>
    <s v="REJUNTE WEBER PMG CINZA PLATINA 1KG"/>
    <n v="5"/>
    <n v="5"/>
    <n v="26.9"/>
    <n v="0"/>
    <n v="134.5"/>
    <n v="0"/>
    <d v="2025-08-15T00:00:00"/>
    <x v="7"/>
  </r>
  <r>
    <n v="1049792"/>
    <s v="JOEL PERLEY PEIXOTO HABERTE"/>
    <s v="15/08/2025 11:40:20:539"/>
    <n v="30841"/>
    <s v="REVEST 37X59 BALI BEIGE ARIELLE (2,43)LA-V2-4F"/>
    <n v="17.010000000000002"/>
    <n v="17.010000000000002"/>
    <n v="44.9"/>
    <n v="0"/>
    <n v="763.74900000000002"/>
    <n v="0"/>
    <d v="2025-08-15T00:00:00"/>
    <x v="7"/>
  </r>
  <r>
    <n v="1049788"/>
    <s v="FERNANDA DE ARAUJO MACHADO"/>
    <s v="18/08/2025 09:44:19:589"/>
    <n v="41"/>
    <s v="ARGAMASSA WEBER AC1 20KG"/>
    <n v="7"/>
    <n v="7"/>
    <n v="43.9"/>
    <n v="0"/>
    <n v="307.3"/>
    <n v="0"/>
    <d v="2025-08-18T00:00:00"/>
    <x v="7"/>
  </r>
  <r>
    <n v="1026332"/>
    <s v="LIONETE NUNES DE ANDRADE"/>
    <s v="18/08/2025 12:04:09:804"/>
    <n v="31708"/>
    <s v="PORCE 70X70 TECHNATTO WHITE MATTE CERBRAS (2,00)"/>
    <n v="2"/>
    <n v="2"/>
    <n v="83.9"/>
    <n v="0"/>
    <n v="167.8"/>
    <n v="0"/>
    <d v="2025-08-18T00:00:00"/>
    <x v="7"/>
  </r>
  <r>
    <n v="1042515"/>
    <s v="DARKSON FRABICIO CARVALHO SRAIVA"/>
    <s v="20/08/2025 06:08:46:031"/>
    <n v="40595"/>
    <s v="ARGAMASSA RORAIMASSA AC1 20KG"/>
    <n v="1"/>
    <n v="1"/>
    <n v="29.9"/>
    <n v="0"/>
    <n v="29.9"/>
    <n v="0"/>
    <d v="2025-08-20T00:00:00"/>
    <x v="7"/>
  </r>
  <r>
    <n v="1034615"/>
    <s v="JESIANE MATOS DE SOUZA"/>
    <s v="20/08/2025 09:52:59:604"/>
    <n v="1621"/>
    <s v="REJUNTE WEBER PMG BRANCO 1KG"/>
    <n v="1"/>
    <n v="1"/>
    <n v="26.9"/>
    <n v="0"/>
    <n v="26.9"/>
    <n v="0"/>
    <d v="2025-08-20T00:00:00"/>
    <x v="7"/>
  </r>
  <r>
    <n v="1027049"/>
    <s v="CRISTIANE PEREIRA DE SOUZA"/>
    <d v="2025-08-20T14:00:00"/>
    <n v="40595"/>
    <s v="ARGAMASSA RORAIMASSA AC1 20KG"/>
    <n v="3"/>
    <n v="3"/>
    <n v="29.9"/>
    <n v="0"/>
    <n v="89.7"/>
    <n v="0"/>
    <d v="2025-08-20T00:00:00"/>
    <x v="7"/>
  </r>
  <r>
    <n v="1049727"/>
    <s v="DANIEL MOZART DE SOUZA FEREIRA"/>
    <d v="2025-08-21T10:01:44"/>
    <n v="40595"/>
    <s v="ARGAMASSA RORAIMASSA AC1 20KG"/>
    <n v="4"/>
    <n v="4"/>
    <n v="29.9"/>
    <n v="0"/>
    <n v="119.6"/>
    <n v="0"/>
    <d v="2025-08-21T00:00:00"/>
    <x v="7"/>
  </r>
  <r>
    <n v="1049904"/>
    <s v="JAMILA LEAL FELOL"/>
    <d v="2025-08-22T08:00:00"/>
    <n v="59914"/>
    <s v="REVEST 32,5X57 RVI57060 INCENOR (2,21)"/>
    <n v="26.52"/>
    <n v="26.52"/>
    <n v="43.9"/>
    <n v="0"/>
    <n v="1164.2280000000001"/>
    <n v="0"/>
    <d v="2025-08-22T00:00:00"/>
    <x v="7"/>
  </r>
  <r>
    <n v="1048861"/>
    <s v="JOAO MARCERONE CARDOSO SOUSA"/>
    <s v="22/08/2025 16:38:36:315"/>
    <n v="40595"/>
    <s v="ARGAMASSA RORAIMASSA AC1 20KG"/>
    <n v="7"/>
    <n v="7"/>
    <n v="29.9"/>
    <n v="0"/>
    <n v="209.3"/>
    <n v="0"/>
    <d v="2025-08-22T00:00:00"/>
    <x v="7"/>
  </r>
  <r>
    <n v="1048861"/>
    <s v="JOAO MARCERONE CARDOSO SOUSA"/>
    <s v="22/08/2025 16:38:36:315"/>
    <n v="38"/>
    <s v="REJUNTE WEBER FLEXIVEL CINZA PLATINA 1KG"/>
    <n v="2"/>
    <n v="2"/>
    <n v="18.899999999999999"/>
    <n v="0"/>
    <n v="37.799999999999997"/>
    <n v="0"/>
    <d v="2025-08-22T00:00:00"/>
    <x v="7"/>
  </r>
  <r>
    <n v="1036404"/>
    <s v="ANA FLAVIA BEZERRA SANTOS SILVA"/>
    <d v="2025-08-23T17:00:22"/>
    <n v="13984"/>
    <s v="MASSA CORRIDA 25KG SUVINIL 50687535"/>
    <n v="6"/>
    <n v="6"/>
    <n v="109.9"/>
    <n v="0"/>
    <n v="659.4"/>
    <n v="0"/>
    <d v="2025-08-23T00:00:00"/>
    <x v="7"/>
  </r>
  <r>
    <n v="1036404"/>
    <s v="ANA FLAVIA BEZERRA SANTOS SILVA"/>
    <d v="2025-08-23T17:00:22"/>
    <n v="58003"/>
    <s v="TINTA SV GLASU BRILHO PRÁTICO *A2* 16,0 E2-ANDIROBA C373"/>
    <n v="2"/>
    <n v="2"/>
    <n v="501.17"/>
    <n v="0"/>
    <n v="1002.34"/>
    <n v="0"/>
    <d v="2025-08-23T00:00:00"/>
    <x v="7"/>
  </r>
  <r>
    <n v="1036404"/>
    <s v="ANA FLAVIA BEZERRA SANTOS SILVA"/>
    <d v="2025-08-23T17:00:22"/>
    <n v="65033"/>
    <s v="TINTA SV GLASU BRILHO PRÁTICO *A2* 16,0 E2-PISTACHE D311"/>
    <n v="2"/>
    <n v="2"/>
    <n v="548.97"/>
    <n v="0"/>
    <n v="1097.94"/>
    <n v="0"/>
    <d v="2025-08-23T00:00:00"/>
    <x v="7"/>
  </r>
  <r>
    <n v="1169"/>
    <s v="AIRTON DUTRA PERREIRA"/>
    <d v="2025-08-25T08:15:55"/>
    <n v="41"/>
    <s v="ARGAMASSA WEBER AC1 20KG"/>
    <n v="10"/>
    <n v="10"/>
    <n v="43.9"/>
    <n v="0"/>
    <n v="439"/>
    <n v="0"/>
    <d v="2025-08-25T00:00:00"/>
    <x v="7"/>
  </r>
  <r>
    <n v="1169"/>
    <s v="AIRTON DUTRA PERREIRA"/>
    <d v="2025-08-25T08:15:55"/>
    <n v="7480"/>
    <s v="PISO 50X50 MALBEC FORMIGRES (2,50)PEI.4-1F"/>
    <n v="15"/>
    <n v="15"/>
    <n v="45.9"/>
    <n v="0"/>
    <n v="688.5"/>
    <n v="0"/>
    <d v="2025-08-25T00:00:00"/>
    <x v="7"/>
  </r>
  <r>
    <n v="1169"/>
    <s v="AIRTON DUTRA PERREIRA"/>
    <d v="2025-08-25T08:15:55"/>
    <n v="1510"/>
    <s v="REJUNTE WEBER FLEXIVEL MARROM CAFE 1KG"/>
    <n v="5"/>
    <n v="5"/>
    <n v="18.899999999999999"/>
    <n v="0"/>
    <n v="94.5"/>
    <n v="0"/>
    <d v="2025-08-25T00:00:00"/>
    <x v="7"/>
  </r>
  <r>
    <n v="1050128"/>
    <s v="JERUSA CHAGAS PITER"/>
    <d v="2025-08-25T08:40:19"/>
    <n v="40595"/>
    <s v="ARGAMASSA RORAIMASSA AC1 20KG"/>
    <n v="5"/>
    <n v="5"/>
    <n v="29.9"/>
    <n v="0"/>
    <n v="149.5"/>
    <n v="0"/>
    <d v="2025-08-25T00:00:00"/>
    <x v="7"/>
  </r>
  <r>
    <n v="1050128"/>
    <s v="JERUSA CHAGAS PITER"/>
    <d v="2025-08-25T08:40:19"/>
    <n v="23720"/>
    <s v="PISO 54X54 LOGAN ARIELLE (2,62)LD-V2-1F"/>
    <n v="5.24"/>
    <n v="5.24"/>
    <n v="44.9"/>
    <n v="0"/>
    <n v="235.27600000000001"/>
    <n v="0"/>
    <d v="2025-08-25T00:00:00"/>
    <x v="7"/>
  </r>
  <r>
    <n v="1050128"/>
    <s v="JERUSA CHAGAS PITER"/>
    <d v="2025-08-25T08:40:19"/>
    <n v="3872"/>
    <s v="REJUNTE WEBER FLEXIVEL PALHA 1KG"/>
    <n v="2"/>
    <n v="2"/>
    <n v="17.899999999999999"/>
    <n v="0"/>
    <n v="35.799999999999997"/>
    <n v="0"/>
    <d v="2025-08-25T00:00:00"/>
    <x v="7"/>
  </r>
  <r>
    <n v="1050128"/>
    <s v="JERUSA CHAGAS PITER"/>
    <d v="2025-08-25T08:40:19"/>
    <n v="25017"/>
    <s v="REVEST 37X59 FLORIDA CLEAN BR ARIELLE (2,43)LA-V2-1F"/>
    <n v="9.7200000000000006"/>
    <n v="9.7200000000000006"/>
    <n v="44.9"/>
    <n v="0"/>
    <n v="436.428"/>
    <n v="0"/>
    <d v="2025-08-25T00:00:00"/>
    <x v="7"/>
  </r>
  <r>
    <n v="1007238"/>
    <s v="GILVANE PEREIRA ROZA"/>
    <s v="25/08/2025 10:09:08:369"/>
    <n v="11089"/>
    <s v="COLORANTE E-COLOR CB 0,9L SUVINIL 50397413"/>
    <n v="0.11"/>
    <n v="0.11"/>
    <n v="193.9"/>
    <n v="0"/>
    <n v="21.329000000000001"/>
    <n v="0"/>
    <d v="2025-08-25T00:00:00"/>
    <x v="7"/>
  </r>
  <r>
    <n v="1007238"/>
    <s v="GILVANE PEREIRA ROZA"/>
    <s v="25/08/2025 10:09:08:369"/>
    <n v="11091"/>
    <s v="COLORANTE E-COLOR RI 0,9L SUVINIL 50397426"/>
    <n v="0.09"/>
    <n v="0.09"/>
    <n v="225.9"/>
    <n v="0"/>
    <n v="20.331"/>
    <n v="0"/>
    <d v="2025-08-25T00:00:00"/>
    <x v="7"/>
  </r>
  <r>
    <n v="1"/>
    <s v="A. P. DE C. BARROS E CIA LTDA"/>
    <s v="25/08/2025 11:36:38:285"/>
    <n v="14518"/>
    <s v="KIT COMPLETO AXIS KP47017 DECA"/>
    <n v="1"/>
    <n v="1"/>
    <n v="1699.9"/>
    <n v="0"/>
    <n v="1699.9"/>
    <n v="0"/>
    <d v="2025-08-25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0F511-40CD-4FD1-8273-5684E8D2E8CA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D12" firstHeaderRow="0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qtdcomprada" fld="5" subtotal="count" baseField="12" baseItem="0"/>
    <dataField name="Soma de qtdretirada" fld="8" baseField="12" baseItem="4"/>
    <dataField name="Soma de valpendente" fld="9" baseField="0" baseItem="0" numFmtId="44"/>
  </dataFields>
  <formats count="2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68BD-8F49-494F-9E78-E7CFF9ECE6CD}">
  <dimension ref="A1:L194"/>
  <sheetViews>
    <sheetView workbookViewId="0">
      <selection activeCell="K1" sqref="K1:K1048576"/>
    </sheetView>
  </sheetViews>
  <sheetFormatPr defaultRowHeight="14.5" x14ac:dyDescent="0.35"/>
  <cols>
    <col min="4" max="4" width="21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18816</v>
      </c>
      <c r="B2" t="s">
        <v>12</v>
      </c>
      <c r="D2" t="s">
        <v>13</v>
      </c>
      <c r="E2">
        <v>901</v>
      </c>
      <c r="F2" t="s">
        <v>14</v>
      </c>
      <c r="G2">
        <v>1</v>
      </c>
      <c r="H2">
        <v>1</v>
      </c>
      <c r="I2">
        <v>59.9</v>
      </c>
      <c r="J2">
        <v>0</v>
      </c>
      <c r="K2">
        <v>59.9</v>
      </c>
      <c r="L2">
        <v>0</v>
      </c>
    </row>
    <row r="3" spans="1:12" x14ac:dyDescent="0.35">
      <c r="A3">
        <v>1031058</v>
      </c>
      <c r="B3" t="s">
        <v>15</v>
      </c>
      <c r="D3" t="s">
        <v>16</v>
      </c>
      <c r="E3">
        <v>13984</v>
      </c>
      <c r="F3" t="s">
        <v>17</v>
      </c>
      <c r="G3">
        <v>1</v>
      </c>
      <c r="H3">
        <v>1</v>
      </c>
      <c r="I3">
        <v>109.9</v>
      </c>
      <c r="J3">
        <v>0</v>
      </c>
      <c r="K3">
        <v>109.9</v>
      </c>
      <c r="L3">
        <v>0</v>
      </c>
    </row>
    <row r="4" spans="1:12" x14ac:dyDescent="0.35">
      <c r="A4">
        <v>1000849</v>
      </c>
      <c r="B4" t="s">
        <v>18</v>
      </c>
      <c r="D4" t="s">
        <v>19</v>
      </c>
      <c r="E4">
        <v>77</v>
      </c>
      <c r="F4" t="s">
        <v>20</v>
      </c>
      <c r="G4">
        <v>1</v>
      </c>
      <c r="H4">
        <v>1</v>
      </c>
      <c r="I4">
        <v>18.899999999999999</v>
      </c>
      <c r="J4">
        <v>0</v>
      </c>
      <c r="K4">
        <v>18.899999999999999</v>
      </c>
      <c r="L4">
        <v>0</v>
      </c>
    </row>
    <row r="5" spans="1:12" x14ac:dyDescent="0.35">
      <c r="A5">
        <v>1038360</v>
      </c>
      <c r="B5" t="s">
        <v>21</v>
      </c>
      <c r="D5" t="s">
        <v>22</v>
      </c>
      <c r="E5">
        <v>4857</v>
      </c>
      <c r="F5" t="s">
        <v>23</v>
      </c>
      <c r="G5">
        <v>1</v>
      </c>
      <c r="H5">
        <v>1</v>
      </c>
      <c r="I5">
        <v>79.900000000000006</v>
      </c>
      <c r="J5">
        <v>0</v>
      </c>
      <c r="K5">
        <v>79.900000000000006</v>
      </c>
      <c r="L5">
        <v>0</v>
      </c>
    </row>
    <row r="6" spans="1:12" x14ac:dyDescent="0.35">
      <c r="A6">
        <v>1043874</v>
      </c>
      <c r="B6" t="s">
        <v>24</v>
      </c>
      <c r="D6" t="s">
        <v>25</v>
      </c>
      <c r="E6">
        <v>2851</v>
      </c>
      <c r="F6" t="s">
        <v>26</v>
      </c>
      <c r="G6">
        <v>3</v>
      </c>
      <c r="H6">
        <v>3</v>
      </c>
      <c r="I6">
        <v>51.9</v>
      </c>
      <c r="J6">
        <v>0</v>
      </c>
      <c r="K6">
        <v>155.69999999999999</v>
      </c>
      <c r="L6">
        <v>0</v>
      </c>
    </row>
    <row r="7" spans="1:12" x14ac:dyDescent="0.35">
      <c r="A7">
        <v>1044900</v>
      </c>
      <c r="B7" t="s">
        <v>27</v>
      </c>
      <c r="D7" t="s">
        <v>28</v>
      </c>
      <c r="E7">
        <v>2682</v>
      </c>
      <c r="F7" t="s">
        <v>29</v>
      </c>
      <c r="G7">
        <v>2</v>
      </c>
      <c r="H7">
        <v>2</v>
      </c>
      <c r="I7">
        <v>82.9</v>
      </c>
      <c r="J7">
        <v>0</v>
      </c>
      <c r="K7">
        <v>165.8</v>
      </c>
      <c r="L7">
        <v>0</v>
      </c>
    </row>
    <row r="8" spans="1:12" x14ac:dyDescent="0.35">
      <c r="A8">
        <v>1044900</v>
      </c>
      <c r="B8" t="s">
        <v>27</v>
      </c>
      <c r="D8" t="s">
        <v>28</v>
      </c>
      <c r="E8">
        <v>3875</v>
      </c>
      <c r="F8" t="s">
        <v>30</v>
      </c>
      <c r="G8">
        <v>1</v>
      </c>
      <c r="H8">
        <v>1</v>
      </c>
      <c r="I8">
        <v>26.9</v>
      </c>
      <c r="J8">
        <v>0</v>
      </c>
      <c r="K8">
        <v>26.9</v>
      </c>
      <c r="L8">
        <v>0</v>
      </c>
    </row>
    <row r="9" spans="1:12" x14ac:dyDescent="0.35">
      <c r="A9">
        <v>1007141</v>
      </c>
      <c r="B9" t="s">
        <v>31</v>
      </c>
      <c r="D9" t="s">
        <v>32</v>
      </c>
      <c r="E9">
        <v>41</v>
      </c>
      <c r="F9" t="s">
        <v>33</v>
      </c>
      <c r="G9">
        <v>3</v>
      </c>
      <c r="H9">
        <v>3</v>
      </c>
      <c r="I9">
        <v>43.9</v>
      </c>
      <c r="J9">
        <v>0</v>
      </c>
      <c r="K9">
        <v>131.69999999999999</v>
      </c>
      <c r="L9">
        <v>0</v>
      </c>
    </row>
    <row r="10" spans="1:12" x14ac:dyDescent="0.35">
      <c r="A10">
        <v>1004510</v>
      </c>
      <c r="B10" t="s">
        <v>34</v>
      </c>
      <c r="D10" t="s">
        <v>35</v>
      </c>
      <c r="E10">
        <v>41</v>
      </c>
      <c r="F10" t="s">
        <v>33</v>
      </c>
      <c r="G10">
        <v>1</v>
      </c>
      <c r="H10">
        <v>1</v>
      </c>
      <c r="I10">
        <v>43.9</v>
      </c>
      <c r="J10">
        <v>0</v>
      </c>
      <c r="K10">
        <v>43.9</v>
      </c>
      <c r="L10">
        <v>0</v>
      </c>
    </row>
    <row r="11" spans="1:12" x14ac:dyDescent="0.35">
      <c r="A11">
        <v>1004510</v>
      </c>
      <c r="B11" t="s">
        <v>34</v>
      </c>
      <c r="D11" t="s">
        <v>35</v>
      </c>
      <c r="E11">
        <v>1621</v>
      </c>
      <c r="F11" t="s">
        <v>36</v>
      </c>
      <c r="G11">
        <v>2</v>
      </c>
      <c r="H11">
        <v>2</v>
      </c>
      <c r="I11">
        <v>26.9</v>
      </c>
      <c r="J11">
        <v>0</v>
      </c>
      <c r="K11">
        <v>53.8</v>
      </c>
      <c r="L11">
        <v>0</v>
      </c>
    </row>
    <row r="12" spans="1:12" x14ac:dyDescent="0.35">
      <c r="A12">
        <v>1006379</v>
      </c>
      <c r="B12" t="s">
        <v>37</v>
      </c>
      <c r="D12" t="s">
        <v>38</v>
      </c>
      <c r="E12">
        <v>50250</v>
      </c>
      <c r="F12" t="s">
        <v>39</v>
      </c>
      <c r="G12">
        <v>2.88</v>
      </c>
      <c r="H12">
        <v>2.88</v>
      </c>
      <c r="I12">
        <v>144.9</v>
      </c>
      <c r="J12">
        <v>0</v>
      </c>
      <c r="K12">
        <v>417.31200000000001</v>
      </c>
      <c r="L12">
        <v>0</v>
      </c>
    </row>
    <row r="13" spans="1:12" x14ac:dyDescent="0.35">
      <c r="A13">
        <v>1045242</v>
      </c>
      <c r="B13" t="s">
        <v>40</v>
      </c>
      <c r="D13" t="s">
        <v>41</v>
      </c>
      <c r="E13">
        <v>60121</v>
      </c>
      <c r="F13" t="s">
        <v>42</v>
      </c>
      <c r="G13">
        <v>1</v>
      </c>
      <c r="H13">
        <v>1</v>
      </c>
      <c r="I13">
        <v>227.31</v>
      </c>
      <c r="J13">
        <v>0</v>
      </c>
      <c r="K13">
        <v>227.31</v>
      </c>
      <c r="L13">
        <v>0</v>
      </c>
    </row>
    <row r="14" spans="1:12" x14ac:dyDescent="0.35">
      <c r="A14">
        <v>1045242</v>
      </c>
      <c r="B14" t="s">
        <v>40</v>
      </c>
      <c r="D14" t="s">
        <v>41</v>
      </c>
      <c r="E14">
        <v>19947</v>
      </c>
      <c r="F14" t="s">
        <v>43</v>
      </c>
      <c r="G14">
        <v>1</v>
      </c>
      <c r="H14">
        <v>1</v>
      </c>
      <c r="I14">
        <v>912.81</v>
      </c>
      <c r="J14">
        <v>0</v>
      </c>
      <c r="K14">
        <v>912.81</v>
      </c>
      <c r="L14">
        <v>0</v>
      </c>
    </row>
    <row r="15" spans="1:12" x14ac:dyDescent="0.35">
      <c r="A15">
        <v>1038122</v>
      </c>
      <c r="B15" t="s">
        <v>44</v>
      </c>
      <c r="D15" s="1">
        <v>45707.583333333336</v>
      </c>
      <c r="E15">
        <v>37</v>
      </c>
      <c r="F15" t="s">
        <v>45</v>
      </c>
      <c r="G15">
        <v>2</v>
      </c>
      <c r="H15">
        <v>2</v>
      </c>
      <c r="I15">
        <v>18.899999999999999</v>
      </c>
      <c r="J15">
        <v>0</v>
      </c>
      <c r="K15">
        <v>37.799999999999997</v>
      </c>
      <c r="L15">
        <v>0</v>
      </c>
    </row>
    <row r="16" spans="1:12" x14ac:dyDescent="0.35">
      <c r="A16">
        <v>1005877</v>
      </c>
      <c r="B16" t="s">
        <v>46</v>
      </c>
      <c r="D16" t="s">
        <v>47</v>
      </c>
      <c r="E16">
        <v>40595</v>
      </c>
      <c r="F16" t="s">
        <v>48</v>
      </c>
      <c r="G16">
        <v>1</v>
      </c>
      <c r="H16">
        <v>1</v>
      </c>
      <c r="I16">
        <v>29.9</v>
      </c>
      <c r="J16">
        <v>0</v>
      </c>
      <c r="K16">
        <v>29.9</v>
      </c>
      <c r="L16">
        <v>0</v>
      </c>
    </row>
    <row r="17" spans="1:12" x14ac:dyDescent="0.35">
      <c r="A17">
        <v>6824</v>
      </c>
      <c r="B17" t="s">
        <v>49</v>
      </c>
      <c r="D17" t="s">
        <v>50</v>
      </c>
      <c r="E17">
        <v>54</v>
      </c>
      <c r="F17" t="s">
        <v>51</v>
      </c>
      <c r="G17">
        <v>7</v>
      </c>
      <c r="H17">
        <v>7</v>
      </c>
      <c r="I17">
        <v>105.9</v>
      </c>
      <c r="J17">
        <v>0</v>
      </c>
      <c r="K17">
        <v>741.3</v>
      </c>
      <c r="L17">
        <v>0</v>
      </c>
    </row>
    <row r="18" spans="1:12" x14ac:dyDescent="0.35">
      <c r="A18">
        <v>1043709</v>
      </c>
      <c r="B18" t="s">
        <v>52</v>
      </c>
      <c r="D18" t="s">
        <v>53</v>
      </c>
      <c r="E18">
        <v>54633</v>
      </c>
      <c r="F18" t="s">
        <v>54</v>
      </c>
      <c r="G18">
        <v>2.5</v>
      </c>
      <c r="H18">
        <v>2.5</v>
      </c>
      <c r="I18">
        <v>40.9</v>
      </c>
      <c r="J18">
        <v>0</v>
      </c>
      <c r="K18">
        <v>102.25</v>
      </c>
      <c r="L18">
        <v>0</v>
      </c>
    </row>
    <row r="19" spans="1:12" x14ac:dyDescent="0.35">
      <c r="A19">
        <v>1043417</v>
      </c>
      <c r="B19" t="s">
        <v>55</v>
      </c>
      <c r="D19" t="s">
        <v>56</v>
      </c>
      <c r="E19">
        <v>77</v>
      </c>
      <c r="F19" t="s">
        <v>20</v>
      </c>
      <c r="G19">
        <v>1</v>
      </c>
      <c r="H19">
        <v>1</v>
      </c>
      <c r="I19">
        <v>18.899999999999999</v>
      </c>
      <c r="J19">
        <v>0</v>
      </c>
      <c r="K19">
        <v>18.899999999999999</v>
      </c>
      <c r="L19">
        <v>0</v>
      </c>
    </row>
    <row r="20" spans="1:12" x14ac:dyDescent="0.35">
      <c r="A20">
        <v>6054</v>
      </c>
      <c r="B20" t="s">
        <v>57</v>
      </c>
      <c r="D20" s="1">
        <v>45731.333333333336</v>
      </c>
      <c r="E20">
        <v>47671</v>
      </c>
      <c r="F20" t="s">
        <v>58</v>
      </c>
      <c r="G20">
        <v>1</v>
      </c>
      <c r="H20">
        <v>1</v>
      </c>
      <c r="I20">
        <v>299.89999999999998</v>
      </c>
      <c r="J20">
        <v>0</v>
      </c>
      <c r="K20">
        <v>299.89999999999998</v>
      </c>
      <c r="L20">
        <v>0</v>
      </c>
    </row>
    <row r="21" spans="1:12" x14ac:dyDescent="0.35">
      <c r="A21">
        <v>1043787</v>
      </c>
      <c r="B21" t="s">
        <v>59</v>
      </c>
      <c r="D21" s="1">
        <v>45733.583333333336</v>
      </c>
      <c r="E21">
        <v>19168</v>
      </c>
      <c r="F21" t="s">
        <v>60</v>
      </c>
      <c r="G21">
        <v>1</v>
      </c>
      <c r="H21">
        <v>1</v>
      </c>
      <c r="I21">
        <v>1136.9000000000001</v>
      </c>
      <c r="J21">
        <v>0</v>
      </c>
      <c r="K21">
        <v>1136.9000000000001</v>
      </c>
      <c r="L21">
        <v>0</v>
      </c>
    </row>
    <row r="22" spans="1:12" x14ac:dyDescent="0.35">
      <c r="A22">
        <v>71086</v>
      </c>
      <c r="B22" t="s">
        <v>61</v>
      </c>
      <c r="D22" s="1">
        <v>45733.583333333336</v>
      </c>
      <c r="E22">
        <v>42717</v>
      </c>
      <c r="F22" t="s">
        <v>62</v>
      </c>
      <c r="G22">
        <v>1</v>
      </c>
      <c r="H22">
        <v>1</v>
      </c>
      <c r="I22">
        <v>41.9</v>
      </c>
      <c r="J22">
        <v>0</v>
      </c>
      <c r="K22">
        <v>41.9</v>
      </c>
      <c r="L22">
        <v>0</v>
      </c>
    </row>
    <row r="23" spans="1:12" x14ac:dyDescent="0.35">
      <c r="A23">
        <v>1044973</v>
      </c>
      <c r="B23" t="s">
        <v>63</v>
      </c>
      <c r="D23" t="s">
        <v>64</v>
      </c>
      <c r="E23">
        <v>1621</v>
      </c>
      <c r="F23" t="s">
        <v>36</v>
      </c>
      <c r="G23">
        <v>1</v>
      </c>
      <c r="H23">
        <v>1</v>
      </c>
      <c r="I23">
        <v>26.9</v>
      </c>
      <c r="J23">
        <v>0</v>
      </c>
      <c r="K23">
        <v>26.9</v>
      </c>
      <c r="L23">
        <v>0</v>
      </c>
    </row>
    <row r="24" spans="1:12" x14ac:dyDescent="0.35">
      <c r="A24">
        <v>96827</v>
      </c>
      <c r="B24" t="s">
        <v>65</v>
      </c>
      <c r="D24" t="s">
        <v>66</v>
      </c>
      <c r="E24">
        <v>40595</v>
      </c>
      <c r="F24" t="s">
        <v>48</v>
      </c>
      <c r="G24">
        <v>2</v>
      </c>
      <c r="H24">
        <v>2</v>
      </c>
      <c r="I24">
        <v>29.9</v>
      </c>
      <c r="J24">
        <v>0</v>
      </c>
      <c r="K24">
        <v>59.8</v>
      </c>
      <c r="L24">
        <v>0</v>
      </c>
    </row>
    <row r="25" spans="1:12" x14ac:dyDescent="0.35">
      <c r="A25">
        <v>1019042</v>
      </c>
      <c r="B25" t="s">
        <v>67</v>
      </c>
      <c r="D25" t="s">
        <v>68</v>
      </c>
      <c r="E25">
        <v>4694</v>
      </c>
      <c r="F25" t="s">
        <v>69</v>
      </c>
      <c r="G25">
        <v>2</v>
      </c>
      <c r="H25">
        <v>2</v>
      </c>
      <c r="I25">
        <v>26.9</v>
      </c>
      <c r="J25">
        <v>0</v>
      </c>
      <c r="K25">
        <v>53.8</v>
      </c>
      <c r="L25">
        <v>0</v>
      </c>
    </row>
    <row r="26" spans="1:12" x14ac:dyDescent="0.35">
      <c r="A26">
        <v>7852</v>
      </c>
      <c r="B26" t="s">
        <v>70</v>
      </c>
      <c r="D26" t="s">
        <v>71</v>
      </c>
      <c r="E26">
        <v>40892</v>
      </c>
      <c r="F26" t="s">
        <v>72</v>
      </c>
      <c r="G26">
        <v>9</v>
      </c>
      <c r="H26">
        <v>9</v>
      </c>
      <c r="I26">
        <v>55.9</v>
      </c>
      <c r="J26">
        <v>0</v>
      </c>
      <c r="K26">
        <v>503.1</v>
      </c>
      <c r="L26">
        <v>0</v>
      </c>
    </row>
    <row r="27" spans="1:12" x14ac:dyDescent="0.35">
      <c r="A27">
        <v>1016048</v>
      </c>
      <c r="B27" t="s">
        <v>73</v>
      </c>
      <c r="D27" t="s">
        <v>74</v>
      </c>
      <c r="E27">
        <v>40595</v>
      </c>
      <c r="F27" t="s">
        <v>48</v>
      </c>
      <c r="G27">
        <v>12</v>
      </c>
      <c r="H27">
        <v>12</v>
      </c>
      <c r="I27">
        <v>29.9</v>
      </c>
      <c r="J27">
        <v>0</v>
      </c>
      <c r="K27">
        <v>358.8</v>
      </c>
      <c r="L27">
        <v>0</v>
      </c>
    </row>
    <row r="28" spans="1:12" x14ac:dyDescent="0.35">
      <c r="A28">
        <v>35824</v>
      </c>
      <c r="B28" t="s">
        <v>75</v>
      </c>
      <c r="D28" t="s">
        <v>76</v>
      </c>
      <c r="E28">
        <v>50263</v>
      </c>
      <c r="F28" t="s">
        <v>77</v>
      </c>
      <c r="G28">
        <v>1.7</v>
      </c>
      <c r="H28">
        <v>1.7</v>
      </c>
      <c r="I28">
        <v>139.9</v>
      </c>
      <c r="J28">
        <v>0</v>
      </c>
      <c r="K28">
        <v>237.83</v>
      </c>
      <c r="L28">
        <v>0</v>
      </c>
    </row>
    <row r="29" spans="1:12" x14ac:dyDescent="0.35">
      <c r="A29">
        <v>1046085</v>
      </c>
      <c r="B29" t="s">
        <v>78</v>
      </c>
      <c r="D29" t="s">
        <v>79</v>
      </c>
      <c r="E29">
        <v>41</v>
      </c>
      <c r="F29" t="s">
        <v>33</v>
      </c>
      <c r="G29">
        <v>1</v>
      </c>
      <c r="H29">
        <v>1</v>
      </c>
      <c r="I29">
        <v>43.9</v>
      </c>
      <c r="J29">
        <v>0</v>
      </c>
      <c r="K29">
        <v>43.9</v>
      </c>
      <c r="L29">
        <v>0</v>
      </c>
    </row>
    <row r="30" spans="1:12" x14ac:dyDescent="0.35">
      <c r="A30">
        <v>2071</v>
      </c>
      <c r="B30" t="s">
        <v>80</v>
      </c>
      <c r="D30" t="s">
        <v>81</v>
      </c>
      <c r="E30">
        <v>41</v>
      </c>
      <c r="F30" t="s">
        <v>33</v>
      </c>
      <c r="G30">
        <v>1</v>
      </c>
      <c r="H30">
        <v>1</v>
      </c>
      <c r="I30">
        <v>43.9</v>
      </c>
      <c r="J30">
        <v>0</v>
      </c>
      <c r="K30">
        <v>43.9</v>
      </c>
      <c r="L30">
        <v>0</v>
      </c>
    </row>
    <row r="31" spans="1:12" x14ac:dyDescent="0.35">
      <c r="A31">
        <v>2071</v>
      </c>
      <c r="B31" t="s">
        <v>80</v>
      </c>
      <c r="D31" t="s">
        <v>81</v>
      </c>
      <c r="E31">
        <v>2682</v>
      </c>
      <c r="F31" t="s">
        <v>29</v>
      </c>
      <c r="G31">
        <v>1</v>
      </c>
      <c r="H31">
        <v>1</v>
      </c>
      <c r="I31">
        <v>82.9</v>
      </c>
      <c r="J31">
        <v>0</v>
      </c>
      <c r="K31">
        <v>82.9</v>
      </c>
      <c r="L31">
        <v>0</v>
      </c>
    </row>
    <row r="32" spans="1:12" x14ac:dyDescent="0.35">
      <c r="A32">
        <v>1024192</v>
      </c>
      <c r="B32" t="s">
        <v>82</v>
      </c>
      <c r="D32" t="s">
        <v>83</v>
      </c>
      <c r="E32">
        <v>40469</v>
      </c>
      <c r="F32" t="s">
        <v>84</v>
      </c>
      <c r="G32">
        <v>2</v>
      </c>
      <c r="H32">
        <v>2</v>
      </c>
      <c r="I32">
        <v>24.9</v>
      </c>
      <c r="J32">
        <v>0</v>
      </c>
      <c r="K32">
        <v>49.8</v>
      </c>
      <c r="L32">
        <v>0</v>
      </c>
    </row>
    <row r="33" spans="1:12" x14ac:dyDescent="0.35">
      <c r="A33">
        <v>1045800</v>
      </c>
      <c r="B33" t="s">
        <v>85</v>
      </c>
      <c r="D33" s="1">
        <v>45742.706250000003</v>
      </c>
      <c r="E33">
        <v>42803</v>
      </c>
      <c r="F33" t="s">
        <v>86</v>
      </c>
      <c r="G33">
        <v>1</v>
      </c>
      <c r="H33">
        <v>1</v>
      </c>
      <c r="I33">
        <v>289.89999999999998</v>
      </c>
      <c r="J33">
        <v>0</v>
      </c>
      <c r="K33">
        <v>289.89999999999998</v>
      </c>
      <c r="L33">
        <v>0</v>
      </c>
    </row>
    <row r="34" spans="1:12" x14ac:dyDescent="0.35">
      <c r="A34">
        <v>11021</v>
      </c>
      <c r="B34" t="s">
        <v>87</v>
      </c>
      <c r="D34" t="s">
        <v>88</v>
      </c>
      <c r="E34">
        <v>41</v>
      </c>
      <c r="F34" t="s">
        <v>33</v>
      </c>
      <c r="G34">
        <v>13</v>
      </c>
      <c r="H34">
        <v>13</v>
      </c>
      <c r="I34">
        <v>43.9</v>
      </c>
      <c r="J34">
        <v>0</v>
      </c>
      <c r="K34">
        <v>570.70000000000005</v>
      </c>
      <c r="L34">
        <v>0</v>
      </c>
    </row>
    <row r="35" spans="1:12" x14ac:dyDescent="0.35">
      <c r="A35">
        <v>1042517</v>
      </c>
      <c r="B35" t="s">
        <v>89</v>
      </c>
      <c r="D35" t="s">
        <v>90</v>
      </c>
      <c r="E35">
        <v>15338</v>
      </c>
      <c r="F35" t="s">
        <v>91</v>
      </c>
      <c r="G35">
        <v>2</v>
      </c>
      <c r="H35">
        <v>2</v>
      </c>
      <c r="I35">
        <v>7999.9</v>
      </c>
      <c r="J35">
        <v>0</v>
      </c>
      <c r="K35">
        <v>15999.8</v>
      </c>
      <c r="L35">
        <v>0</v>
      </c>
    </row>
    <row r="36" spans="1:12" x14ac:dyDescent="0.35">
      <c r="A36">
        <v>1042517</v>
      </c>
      <c r="B36" t="s">
        <v>89</v>
      </c>
      <c r="D36" t="s">
        <v>92</v>
      </c>
      <c r="E36">
        <v>35650</v>
      </c>
      <c r="F36" t="s">
        <v>93</v>
      </c>
      <c r="G36">
        <v>1</v>
      </c>
      <c r="H36">
        <v>1</v>
      </c>
      <c r="I36">
        <v>9249.9</v>
      </c>
      <c r="J36">
        <v>0</v>
      </c>
      <c r="K36">
        <v>9249.9</v>
      </c>
      <c r="L36">
        <v>0</v>
      </c>
    </row>
    <row r="37" spans="1:12" x14ac:dyDescent="0.35">
      <c r="A37">
        <v>1046106</v>
      </c>
      <c r="B37" t="s">
        <v>94</v>
      </c>
      <c r="D37" t="s">
        <v>95</v>
      </c>
      <c r="E37">
        <v>4694</v>
      </c>
      <c r="F37" t="s">
        <v>69</v>
      </c>
      <c r="G37">
        <v>1</v>
      </c>
      <c r="H37">
        <v>1</v>
      </c>
      <c r="I37">
        <v>26.9</v>
      </c>
      <c r="J37">
        <v>0</v>
      </c>
      <c r="K37">
        <v>26.9</v>
      </c>
      <c r="L37">
        <v>0</v>
      </c>
    </row>
    <row r="38" spans="1:12" x14ac:dyDescent="0.35">
      <c r="A38">
        <v>2425</v>
      </c>
      <c r="B38" t="s">
        <v>96</v>
      </c>
      <c r="D38" t="s">
        <v>97</v>
      </c>
      <c r="E38">
        <v>41</v>
      </c>
      <c r="F38" t="s">
        <v>33</v>
      </c>
      <c r="G38">
        <v>4</v>
      </c>
      <c r="H38">
        <v>4</v>
      </c>
      <c r="I38">
        <v>43.9</v>
      </c>
      <c r="J38">
        <v>0</v>
      </c>
      <c r="K38">
        <v>175.6</v>
      </c>
      <c r="L38">
        <v>0</v>
      </c>
    </row>
    <row r="39" spans="1:12" x14ac:dyDescent="0.35">
      <c r="A39">
        <v>2425</v>
      </c>
      <c r="B39" t="s">
        <v>96</v>
      </c>
      <c r="D39" t="s">
        <v>97</v>
      </c>
      <c r="E39">
        <v>40474</v>
      </c>
      <c r="F39" t="s">
        <v>98</v>
      </c>
      <c r="G39">
        <v>4</v>
      </c>
      <c r="H39">
        <v>4</v>
      </c>
      <c r="I39">
        <v>24.9</v>
      </c>
      <c r="J39">
        <v>0</v>
      </c>
      <c r="K39">
        <v>99.6</v>
      </c>
      <c r="L39">
        <v>0</v>
      </c>
    </row>
    <row r="40" spans="1:12" x14ac:dyDescent="0.35">
      <c r="A40">
        <v>1006744</v>
      </c>
      <c r="B40" t="s">
        <v>99</v>
      </c>
      <c r="D40" t="s">
        <v>100</v>
      </c>
      <c r="E40">
        <v>40595</v>
      </c>
      <c r="F40" t="s">
        <v>48</v>
      </c>
      <c r="G40">
        <v>3</v>
      </c>
      <c r="H40">
        <v>3</v>
      </c>
      <c r="I40">
        <v>29.9</v>
      </c>
      <c r="J40">
        <v>0</v>
      </c>
      <c r="K40">
        <v>89.7</v>
      </c>
      <c r="L40">
        <v>0</v>
      </c>
    </row>
    <row r="41" spans="1:12" x14ac:dyDescent="0.35">
      <c r="A41">
        <v>1026486</v>
      </c>
      <c r="B41" t="s">
        <v>101</v>
      </c>
      <c r="D41" t="s">
        <v>102</v>
      </c>
      <c r="E41">
        <v>75</v>
      </c>
      <c r="F41" t="s">
        <v>103</v>
      </c>
      <c r="G41">
        <v>3</v>
      </c>
      <c r="H41">
        <v>3</v>
      </c>
      <c r="I41">
        <v>17.899999999999999</v>
      </c>
      <c r="J41">
        <v>0</v>
      </c>
      <c r="K41">
        <v>53.7</v>
      </c>
      <c r="L41">
        <v>0</v>
      </c>
    </row>
    <row r="42" spans="1:12" x14ac:dyDescent="0.35">
      <c r="A42">
        <v>1042491</v>
      </c>
      <c r="B42" t="s">
        <v>104</v>
      </c>
      <c r="D42" t="s">
        <v>105</v>
      </c>
      <c r="E42">
        <v>2682</v>
      </c>
      <c r="F42" t="s">
        <v>29</v>
      </c>
      <c r="G42">
        <v>2</v>
      </c>
      <c r="H42">
        <v>2</v>
      </c>
      <c r="I42">
        <v>82.9</v>
      </c>
      <c r="J42">
        <v>0</v>
      </c>
      <c r="K42">
        <v>165.8</v>
      </c>
      <c r="L42">
        <v>0</v>
      </c>
    </row>
    <row r="43" spans="1:12" x14ac:dyDescent="0.35">
      <c r="A43">
        <v>1001124</v>
      </c>
      <c r="B43" t="s">
        <v>106</v>
      </c>
      <c r="D43" t="s">
        <v>107</v>
      </c>
      <c r="E43">
        <v>41</v>
      </c>
      <c r="F43" t="s">
        <v>33</v>
      </c>
      <c r="G43">
        <v>2</v>
      </c>
      <c r="H43">
        <v>2</v>
      </c>
      <c r="I43">
        <v>43.9</v>
      </c>
      <c r="J43">
        <v>0</v>
      </c>
      <c r="K43">
        <v>87.8</v>
      </c>
      <c r="L43">
        <v>0</v>
      </c>
    </row>
    <row r="44" spans="1:12" x14ac:dyDescent="0.35">
      <c r="A44">
        <v>1001124</v>
      </c>
      <c r="B44" t="s">
        <v>106</v>
      </c>
      <c r="D44" t="s">
        <v>107</v>
      </c>
      <c r="E44">
        <v>39</v>
      </c>
      <c r="F44" t="s">
        <v>108</v>
      </c>
      <c r="G44">
        <v>5</v>
      </c>
      <c r="H44">
        <v>5</v>
      </c>
      <c r="I44">
        <v>18.899999999999999</v>
      </c>
      <c r="J44">
        <v>0</v>
      </c>
      <c r="K44">
        <v>94.5</v>
      </c>
      <c r="L44">
        <v>0</v>
      </c>
    </row>
    <row r="45" spans="1:12" x14ac:dyDescent="0.35">
      <c r="A45">
        <v>1002631</v>
      </c>
      <c r="B45" t="s">
        <v>109</v>
      </c>
      <c r="D45" t="s">
        <v>110</v>
      </c>
      <c r="E45">
        <v>40894</v>
      </c>
      <c r="F45" t="s">
        <v>111</v>
      </c>
      <c r="G45">
        <v>2</v>
      </c>
      <c r="H45">
        <v>2</v>
      </c>
      <c r="I45">
        <v>65.900000000000006</v>
      </c>
      <c r="J45">
        <v>0</v>
      </c>
      <c r="K45">
        <v>131.80000000000001</v>
      </c>
      <c r="L45">
        <v>0</v>
      </c>
    </row>
    <row r="46" spans="1:12" x14ac:dyDescent="0.35">
      <c r="A46">
        <v>1046434</v>
      </c>
      <c r="B46" t="s">
        <v>112</v>
      </c>
      <c r="D46" t="s">
        <v>113</v>
      </c>
      <c r="E46">
        <v>21546</v>
      </c>
      <c r="F46" t="s">
        <v>114</v>
      </c>
      <c r="G46">
        <v>5</v>
      </c>
      <c r="H46">
        <v>5</v>
      </c>
      <c r="I46">
        <v>40.9</v>
      </c>
      <c r="J46">
        <v>0</v>
      </c>
      <c r="K46">
        <v>204.5</v>
      </c>
      <c r="L46">
        <v>0</v>
      </c>
    </row>
    <row r="47" spans="1:12" x14ac:dyDescent="0.35">
      <c r="A47">
        <v>1046696</v>
      </c>
      <c r="B47" t="s">
        <v>115</v>
      </c>
      <c r="D47" t="s">
        <v>116</v>
      </c>
      <c r="E47">
        <v>13809</v>
      </c>
      <c r="F47" t="s">
        <v>117</v>
      </c>
      <c r="G47">
        <v>1</v>
      </c>
      <c r="H47">
        <v>1</v>
      </c>
      <c r="I47">
        <v>34.9</v>
      </c>
      <c r="J47">
        <v>0</v>
      </c>
      <c r="K47">
        <v>34.9</v>
      </c>
      <c r="L47">
        <v>0</v>
      </c>
    </row>
    <row r="48" spans="1:12" x14ac:dyDescent="0.35">
      <c r="A48">
        <v>1042517</v>
      </c>
      <c r="B48" t="s">
        <v>89</v>
      </c>
      <c r="D48" t="s">
        <v>118</v>
      </c>
      <c r="E48">
        <v>37251</v>
      </c>
      <c r="F48" t="s">
        <v>119</v>
      </c>
      <c r="G48">
        <v>50.6</v>
      </c>
      <c r="H48">
        <v>50.6</v>
      </c>
      <c r="I48">
        <v>169.9</v>
      </c>
      <c r="J48">
        <v>0</v>
      </c>
      <c r="K48">
        <v>8596.94</v>
      </c>
      <c r="L48">
        <v>0</v>
      </c>
    </row>
    <row r="49" spans="1:12" x14ac:dyDescent="0.35">
      <c r="A49">
        <v>1042517</v>
      </c>
      <c r="B49" t="s">
        <v>89</v>
      </c>
      <c r="D49" t="s">
        <v>120</v>
      </c>
      <c r="E49">
        <v>37243</v>
      </c>
      <c r="F49" t="s">
        <v>121</v>
      </c>
      <c r="G49">
        <v>81.400000000000006</v>
      </c>
      <c r="H49">
        <v>81.400000000000006</v>
      </c>
      <c r="I49">
        <v>145.9</v>
      </c>
      <c r="J49">
        <v>0</v>
      </c>
      <c r="K49">
        <v>11876.26</v>
      </c>
      <c r="L49">
        <v>0</v>
      </c>
    </row>
    <row r="50" spans="1:12" x14ac:dyDescent="0.35">
      <c r="A50">
        <v>1046704</v>
      </c>
      <c r="B50" t="s">
        <v>122</v>
      </c>
      <c r="D50" t="s">
        <v>123</v>
      </c>
      <c r="E50">
        <v>13984</v>
      </c>
      <c r="F50" t="s">
        <v>17</v>
      </c>
      <c r="G50">
        <v>3</v>
      </c>
      <c r="H50">
        <v>3</v>
      </c>
      <c r="I50">
        <v>109.9</v>
      </c>
      <c r="J50">
        <v>0</v>
      </c>
      <c r="K50">
        <v>329.7</v>
      </c>
      <c r="L50">
        <v>0</v>
      </c>
    </row>
    <row r="51" spans="1:12" x14ac:dyDescent="0.35">
      <c r="A51">
        <v>1023318</v>
      </c>
      <c r="B51" t="s">
        <v>124</v>
      </c>
      <c r="D51" t="s">
        <v>125</v>
      </c>
      <c r="E51">
        <v>50207</v>
      </c>
      <c r="F51" t="s">
        <v>126</v>
      </c>
      <c r="G51">
        <v>3</v>
      </c>
      <c r="H51">
        <v>3</v>
      </c>
      <c r="I51">
        <v>145.9</v>
      </c>
      <c r="J51">
        <v>0</v>
      </c>
      <c r="K51">
        <v>437.7</v>
      </c>
      <c r="L51">
        <v>0</v>
      </c>
    </row>
    <row r="52" spans="1:12" x14ac:dyDescent="0.35">
      <c r="A52">
        <v>26990</v>
      </c>
      <c r="B52" t="s">
        <v>127</v>
      </c>
      <c r="D52" t="s">
        <v>128</v>
      </c>
      <c r="E52">
        <v>13809</v>
      </c>
      <c r="F52" t="s">
        <v>117</v>
      </c>
      <c r="G52">
        <v>10</v>
      </c>
      <c r="H52">
        <v>10</v>
      </c>
      <c r="I52">
        <v>34.9</v>
      </c>
      <c r="J52">
        <v>0</v>
      </c>
      <c r="K52">
        <v>349</v>
      </c>
      <c r="L52">
        <v>0</v>
      </c>
    </row>
    <row r="53" spans="1:12" x14ac:dyDescent="0.35">
      <c r="A53">
        <v>1001124</v>
      </c>
      <c r="B53" t="s">
        <v>106</v>
      </c>
      <c r="D53" t="s">
        <v>129</v>
      </c>
      <c r="E53">
        <v>41</v>
      </c>
      <c r="F53" t="s">
        <v>33</v>
      </c>
      <c r="G53">
        <v>12</v>
      </c>
      <c r="H53">
        <v>12</v>
      </c>
      <c r="I53">
        <v>43.9</v>
      </c>
      <c r="J53">
        <v>0</v>
      </c>
      <c r="K53">
        <v>526.79999999999995</v>
      </c>
      <c r="L53">
        <v>0</v>
      </c>
    </row>
    <row r="54" spans="1:12" x14ac:dyDescent="0.35">
      <c r="A54">
        <v>1046528</v>
      </c>
      <c r="B54" t="s">
        <v>130</v>
      </c>
      <c r="D54" t="s">
        <v>131</v>
      </c>
      <c r="E54">
        <v>40894</v>
      </c>
      <c r="F54" t="s">
        <v>111</v>
      </c>
      <c r="G54">
        <v>5</v>
      </c>
      <c r="H54">
        <v>5</v>
      </c>
      <c r="I54">
        <v>65.900000000000006</v>
      </c>
      <c r="J54">
        <v>0</v>
      </c>
      <c r="K54">
        <v>329.5</v>
      </c>
      <c r="L54">
        <v>0</v>
      </c>
    </row>
    <row r="55" spans="1:12" x14ac:dyDescent="0.35">
      <c r="A55">
        <v>1046807</v>
      </c>
      <c r="B55" t="s">
        <v>132</v>
      </c>
      <c r="D55" t="s">
        <v>133</v>
      </c>
      <c r="E55">
        <v>13809</v>
      </c>
      <c r="F55" t="s">
        <v>117</v>
      </c>
      <c r="G55">
        <v>10</v>
      </c>
      <c r="H55">
        <v>10</v>
      </c>
      <c r="I55">
        <v>34.9</v>
      </c>
      <c r="J55">
        <v>0</v>
      </c>
      <c r="K55">
        <v>349</v>
      </c>
      <c r="L55">
        <v>0</v>
      </c>
    </row>
    <row r="56" spans="1:12" x14ac:dyDescent="0.35">
      <c r="A56">
        <v>1045683</v>
      </c>
      <c r="B56" t="s">
        <v>134</v>
      </c>
      <c r="D56" s="1">
        <v>45770.583333333336</v>
      </c>
      <c r="E56">
        <v>8837</v>
      </c>
      <c r="F56" t="s">
        <v>135</v>
      </c>
      <c r="G56">
        <v>3</v>
      </c>
      <c r="H56">
        <v>3</v>
      </c>
      <c r="I56">
        <v>11.9</v>
      </c>
      <c r="J56">
        <v>0</v>
      </c>
      <c r="K56">
        <v>35.700000000000003</v>
      </c>
      <c r="L56">
        <v>0</v>
      </c>
    </row>
    <row r="57" spans="1:12" x14ac:dyDescent="0.35">
      <c r="A57">
        <v>1013434</v>
      </c>
      <c r="B57" t="s">
        <v>136</v>
      </c>
      <c r="D57" t="s">
        <v>137</v>
      </c>
      <c r="E57">
        <v>13809</v>
      </c>
      <c r="F57" t="s">
        <v>117</v>
      </c>
      <c r="G57">
        <v>1</v>
      </c>
      <c r="H57">
        <v>1</v>
      </c>
      <c r="I57">
        <v>34.9</v>
      </c>
      <c r="J57">
        <v>0</v>
      </c>
      <c r="K57">
        <v>34.9</v>
      </c>
      <c r="L57">
        <v>0</v>
      </c>
    </row>
    <row r="58" spans="1:12" x14ac:dyDescent="0.35">
      <c r="A58">
        <v>1031841</v>
      </c>
      <c r="B58" t="s">
        <v>138</v>
      </c>
      <c r="D58" t="s">
        <v>139</v>
      </c>
      <c r="E58">
        <v>58562</v>
      </c>
      <c r="F58" t="s">
        <v>140</v>
      </c>
      <c r="G58">
        <v>7.77</v>
      </c>
      <c r="H58">
        <v>7.77</v>
      </c>
      <c r="I58">
        <v>45.9</v>
      </c>
      <c r="J58">
        <v>0</v>
      </c>
      <c r="K58">
        <v>356.64299999999997</v>
      </c>
      <c r="L58">
        <v>0</v>
      </c>
    </row>
    <row r="59" spans="1:12" x14ac:dyDescent="0.35">
      <c r="A59">
        <v>1046848</v>
      </c>
      <c r="B59" t="s">
        <v>141</v>
      </c>
      <c r="D59" t="s">
        <v>142</v>
      </c>
      <c r="E59">
        <v>41</v>
      </c>
      <c r="F59" t="s">
        <v>33</v>
      </c>
      <c r="G59">
        <v>4</v>
      </c>
      <c r="H59">
        <v>4</v>
      </c>
      <c r="I59">
        <v>43.9</v>
      </c>
      <c r="J59">
        <v>0</v>
      </c>
      <c r="K59">
        <v>175.6</v>
      </c>
      <c r="L59">
        <v>0</v>
      </c>
    </row>
    <row r="60" spans="1:12" x14ac:dyDescent="0.35">
      <c r="A60">
        <v>1046848</v>
      </c>
      <c r="B60" t="s">
        <v>141</v>
      </c>
      <c r="D60" t="s">
        <v>142</v>
      </c>
      <c r="E60">
        <v>50664</v>
      </c>
      <c r="F60" t="s">
        <v>143</v>
      </c>
      <c r="G60">
        <v>4.42</v>
      </c>
      <c r="H60">
        <v>4.42</v>
      </c>
      <c r="I60">
        <v>66.900000000000006</v>
      </c>
      <c r="J60">
        <v>0</v>
      </c>
      <c r="K60">
        <v>295.69799999999998</v>
      </c>
      <c r="L60">
        <v>0</v>
      </c>
    </row>
    <row r="61" spans="1:12" x14ac:dyDescent="0.35">
      <c r="A61">
        <v>3766</v>
      </c>
      <c r="B61" t="s">
        <v>144</v>
      </c>
      <c r="D61" t="s">
        <v>145</v>
      </c>
      <c r="E61">
        <v>13809</v>
      </c>
      <c r="F61" t="s">
        <v>117</v>
      </c>
      <c r="G61">
        <v>7</v>
      </c>
      <c r="H61">
        <v>7</v>
      </c>
      <c r="I61">
        <v>34.9</v>
      </c>
      <c r="J61">
        <v>0</v>
      </c>
      <c r="K61">
        <v>244.3</v>
      </c>
      <c r="L61">
        <v>0</v>
      </c>
    </row>
    <row r="62" spans="1:12" x14ac:dyDescent="0.35">
      <c r="A62">
        <v>1015641</v>
      </c>
      <c r="B62" t="s">
        <v>146</v>
      </c>
      <c r="D62" t="s">
        <v>147</v>
      </c>
      <c r="E62">
        <v>5108</v>
      </c>
      <c r="F62" t="s">
        <v>148</v>
      </c>
      <c r="G62">
        <v>2</v>
      </c>
      <c r="H62">
        <v>1</v>
      </c>
      <c r="I62">
        <v>14.9</v>
      </c>
      <c r="J62">
        <v>1</v>
      </c>
      <c r="K62">
        <v>14.9</v>
      </c>
      <c r="L62">
        <v>14.9</v>
      </c>
    </row>
    <row r="63" spans="1:12" x14ac:dyDescent="0.35">
      <c r="A63">
        <v>91081</v>
      </c>
      <c r="B63" t="s">
        <v>149</v>
      </c>
      <c r="D63" t="s">
        <v>150</v>
      </c>
      <c r="E63">
        <v>32914</v>
      </c>
      <c r="F63" t="s">
        <v>151</v>
      </c>
      <c r="G63">
        <v>47.16</v>
      </c>
      <c r="H63">
        <v>47.16</v>
      </c>
      <c r="I63">
        <v>44.9</v>
      </c>
      <c r="J63">
        <v>0</v>
      </c>
      <c r="K63">
        <v>2117.4839999999999</v>
      </c>
      <c r="L63">
        <v>0</v>
      </c>
    </row>
    <row r="64" spans="1:12" x14ac:dyDescent="0.35">
      <c r="A64">
        <v>1007707</v>
      </c>
      <c r="B64" t="s">
        <v>152</v>
      </c>
      <c r="D64" t="s">
        <v>153</v>
      </c>
      <c r="E64">
        <v>47325</v>
      </c>
      <c r="F64" t="s">
        <v>154</v>
      </c>
      <c r="G64">
        <v>4</v>
      </c>
      <c r="H64">
        <v>4</v>
      </c>
      <c r="I64">
        <v>24.9</v>
      </c>
      <c r="J64">
        <v>0</v>
      </c>
      <c r="K64">
        <v>99.6</v>
      </c>
      <c r="L64">
        <v>0</v>
      </c>
    </row>
    <row r="65" spans="1:12" x14ac:dyDescent="0.35">
      <c r="A65">
        <v>1014781</v>
      </c>
      <c r="B65" t="s">
        <v>155</v>
      </c>
      <c r="D65" t="s">
        <v>156</v>
      </c>
      <c r="E65">
        <v>4694</v>
      </c>
      <c r="F65" t="s">
        <v>69</v>
      </c>
      <c r="G65">
        <v>3</v>
      </c>
      <c r="H65">
        <v>3</v>
      </c>
      <c r="I65">
        <v>26.9</v>
      </c>
      <c r="J65">
        <v>0</v>
      </c>
      <c r="K65">
        <v>80.7</v>
      </c>
      <c r="L65">
        <v>0</v>
      </c>
    </row>
    <row r="66" spans="1:12" x14ac:dyDescent="0.35">
      <c r="A66">
        <v>1036156</v>
      </c>
      <c r="B66" t="s">
        <v>157</v>
      </c>
      <c r="D66" t="s">
        <v>158</v>
      </c>
      <c r="E66">
        <v>40892</v>
      </c>
      <c r="F66" t="s">
        <v>72</v>
      </c>
      <c r="G66">
        <v>3</v>
      </c>
      <c r="H66">
        <v>3</v>
      </c>
      <c r="I66">
        <v>55.9</v>
      </c>
      <c r="J66">
        <v>0</v>
      </c>
      <c r="K66">
        <v>167.7</v>
      </c>
      <c r="L66">
        <v>0</v>
      </c>
    </row>
    <row r="67" spans="1:12" x14ac:dyDescent="0.35">
      <c r="A67">
        <v>1026304</v>
      </c>
      <c r="B67" t="s">
        <v>159</v>
      </c>
      <c r="D67" t="s">
        <v>160</v>
      </c>
      <c r="E67">
        <v>901</v>
      </c>
      <c r="F67" t="s">
        <v>14</v>
      </c>
      <c r="G67">
        <v>10</v>
      </c>
      <c r="H67">
        <v>10</v>
      </c>
      <c r="I67">
        <v>59.9</v>
      </c>
      <c r="J67">
        <v>0</v>
      </c>
      <c r="K67">
        <v>599</v>
      </c>
      <c r="L67">
        <v>0</v>
      </c>
    </row>
    <row r="68" spans="1:12" x14ac:dyDescent="0.35">
      <c r="A68">
        <v>16805</v>
      </c>
      <c r="B68" t="s">
        <v>161</v>
      </c>
      <c r="D68" t="s">
        <v>162</v>
      </c>
      <c r="E68">
        <v>37950</v>
      </c>
      <c r="F68" t="s">
        <v>163</v>
      </c>
      <c r="G68">
        <v>1</v>
      </c>
      <c r="H68">
        <v>1</v>
      </c>
      <c r="I68">
        <v>169.9</v>
      </c>
      <c r="J68">
        <v>0</v>
      </c>
      <c r="K68">
        <v>169.9</v>
      </c>
      <c r="L68">
        <v>0</v>
      </c>
    </row>
    <row r="69" spans="1:12" x14ac:dyDescent="0.35">
      <c r="A69">
        <v>1045784</v>
      </c>
      <c r="B69" t="s">
        <v>164</v>
      </c>
      <c r="D69" t="s">
        <v>165</v>
      </c>
      <c r="E69">
        <v>13809</v>
      </c>
      <c r="F69" t="s">
        <v>117</v>
      </c>
      <c r="G69">
        <v>10</v>
      </c>
      <c r="H69">
        <v>10</v>
      </c>
      <c r="I69">
        <v>34.9</v>
      </c>
      <c r="J69">
        <v>0</v>
      </c>
      <c r="K69">
        <v>349</v>
      </c>
      <c r="L69">
        <v>0</v>
      </c>
    </row>
    <row r="70" spans="1:12" x14ac:dyDescent="0.35">
      <c r="A70">
        <v>1044969</v>
      </c>
      <c r="B70" t="s">
        <v>166</v>
      </c>
      <c r="D70" t="s">
        <v>167</v>
      </c>
      <c r="E70">
        <v>13809</v>
      </c>
      <c r="F70" t="s">
        <v>117</v>
      </c>
      <c r="G70">
        <v>9</v>
      </c>
      <c r="H70">
        <v>9</v>
      </c>
      <c r="I70">
        <v>34.9</v>
      </c>
      <c r="J70">
        <v>0</v>
      </c>
      <c r="K70">
        <v>314.10000000000002</v>
      </c>
      <c r="L70">
        <v>0</v>
      </c>
    </row>
    <row r="71" spans="1:12" x14ac:dyDescent="0.35">
      <c r="A71">
        <v>1044969</v>
      </c>
      <c r="B71" t="s">
        <v>166</v>
      </c>
      <c r="D71" t="s">
        <v>167</v>
      </c>
      <c r="E71">
        <v>3873</v>
      </c>
      <c r="F71" t="s">
        <v>168</v>
      </c>
      <c r="G71">
        <v>4</v>
      </c>
      <c r="H71">
        <v>4</v>
      </c>
      <c r="I71">
        <v>18.899999999999999</v>
      </c>
      <c r="J71">
        <v>0</v>
      </c>
      <c r="K71">
        <v>75.599999999999994</v>
      </c>
      <c r="L71">
        <v>0</v>
      </c>
    </row>
    <row r="72" spans="1:12" x14ac:dyDescent="0.35">
      <c r="A72">
        <v>1015049</v>
      </c>
      <c r="B72" t="s">
        <v>169</v>
      </c>
      <c r="D72" t="s">
        <v>170</v>
      </c>
      <c r="E72">
        <v>8105</v>
      </c>
      <c r="F72" t="s">
        <v>171</v>
      </c>
      <c r="G72">
        <v>2</v>
      </c>
      <c r="H72">
        <v>2</v>
      </c>
      <c r="I72">
        <v>44.9</v>
      </c>
      <c r="J72">
        <v>0</v>
      </c>
      <c r="K72">
        <v>89.8</v>
      </c>
      <c r="L72">
        <v>0</v>
      </c>
    </row>
    <row r="73" spans="1:12" x14ac:dyDescent="0.35">
      <c r="A73">
        <v>1047360</v>
      </c>
      <c r="B73" t="s">
        <v>172</v>
      </c>
      <c r="D73" t="s">
        <v>173</v>
      </c>
      <c r="E73">
        <v>37</v>
      </c>
      <c r="F73" t="s">
        <v>45</v>
      </c>
      <c r="G73">
        <v>2</v>
      </c>
      <c r="H73">
        <v>2</v>
      </c>
      <c r="I73">
        <v>18.899999999999999</v>
      </c>
      <c r="J73">
        <v>0</v>
      </c>
      <c r="K73">
        <v>37.799999999999997</v>
      </c>
      <c r="L73">
        <v>0</v>
      </c>
    </row>
    <row r="74" spans="1:12" x14ac:dyDescent="0.35">
      <c r="A74">
        <v>1047203</v>
      </c>
      <c r="B74" t="s">
        <v>174</v>
      </c>
      <c r="D74" t="s">
        <v>175</v>
      </c>
      <c r="E74">
        <v>13809</v>
      </c>
      <c r="F74" t="s">
        <v>117</v>
      </c>
      <c r="G74">
        <v>1</v>
      </c>
      <c r="H74">
        <v>1</v>
      </c>
      <c r="I74">
        <v>34.9</v>
      </c>
      <c r="J74">
        <v>0</v>
      </c>
      <c r="K74">
        <v>34.9</v>
      </c>
      <c r="L74">
        <v>0</v>
      </c>
    </row>
    <row r="75" spans="1:12" x14ac:dyDescent="0.35">
      <c r="A75">
        <v>1047203</v>
      </c>
      <c r="B75" t="s">
        <v>174</v>
      </c>
      <c r="D75" t="s">
        <v>175</v>
      </c>
      <c r="E75">
        <v>46005</v>
      </c>
      <c r="F75" t="s">
        <v>176</v>
      </c>
      <c r="G75">
        <v>4</v>
      </c>
      <c r="H75">
        <v>4</v>
      </c>
      <c r="I75">
        <v>99.9</v>
      </c>
      <c r="J75">
        <v>0</v>
      </c>
      <c r="K75">
        <v>399.6</v>
      </c>
      <c r="L75">
        <v>0</v>
      </c>
    </row>
    <row r="76" spans="1:12" x14ac:dyDescent="0.35">
      <c r="A76">
        <v>70694</v>
      </c>
      <c r="B76" t="s">
        <v>177</v>
      </c>
      <c r="D76" t="s">
        <v>178</v>
      </c>
      <c r="E76">
        <v>40595</v>
      </c>
      <c r="F76" t="s">
        <v>48</v>
      </c>
      <c r="G76">
        <v>10</v>
      </c>
      <c r="H76">
        <v>10</v>
      </c>
      <c r="I76">
        <v>29.9</v>
      </c>
      <c r="J76">
        <v>0</v>
      </c>
      <c r="K76">
        <v>299</v>
      </c>
      <c r="L76">
        <v>0</v>
      </c>
    </row>
    <row r="77" spans="1:12" x14ac:dyDescent="0.35">
      <c r="A77">
        <v>95703</v>
      </c>
      <c r="B77" t="s">
        <v>179</v>
      </c>
      <c r="D77" t="s">
        <v>180</v>
      </c>
      <c r="E77">
        <v>59954</v>
      </c>
      <c r="F77" t="s">
        <v>181</v>
      </c>
      <c r="G77">
        <v>24.12</v>
      </c>
      <c r="H77">
        <v>24.12</v>
      </c>
      <c r="I77">
        <v>45.9</v>
      </c>
      <c r="J77">
        <v>0</v>
      </c>
      <c r="K77">
        <v>1107.1079999999999</v>
      </c>
      <c r="L77">
        <v>0</v>
      </c>
    </row>
    <row r="78" spans="1:12" x14ac:dyDescent="0.35">
      <c r="A78">
        <v>8438</v>
      </c>
      <c r="B78" t="s">
        <v>182</v>
      </c>
      <c r="D78" t="s">
        <v>183</v>
      </c>
      <c r="E78">
        <v>40595</v>
      </c>
      <c r="F78" t="s">
        <v>48</v>
      </c>
      <c r="G78">
        <v>1</v>
      </c>
      <c r="H78">
        <v>1</v>
      </c>
      <c r="I78">
        <v>29.9</v>
      </c>
      <c r="J78">
        <v>0</v>
      </c>
      <c r="K78">
        <v>29.9</v>
      </c>
      <c r="L78">
        <v>0</v>
      </c>
    </row>
    <row r="79" spans="1:12" x14ac:dyDescent="0.35">
      <c r="A79">
        <v>1003572</v>
      </c>
      <c r="B79" t="s">
        <v>184</v>
      </c>
      <c r="D79" t="s">
        <v>185</v>
      </c>
      <c r="E79">
        <v>41</v>
      </c>
      <c r="F79" t="s">
        <v>33</v>
      </c>
      <c r="G79">
        <v>2</v>
      </c>
      <c r="H79">
        <v>2</v>
      </c>
      <c r="I79">
        <v>43.9</v>
      </c>
      <c r="J79">
        <v>0</v>
      </c>
      <c r="K79">
        <v>87.8</v>
      </c>
      <c r="L79">
        <v>0</v>
      </c>
    </row>
    <row r="80" spans="1:12" x14ac:dyDescent="0.35">
      <c r="A80">
        <v>1047594</v>
      </c>
      <c r="B80" t="s">
        <v>186</v>
      </c>
      <c r="D80" t="s">
        <v>187</v>
      </c>
      <c r="E80">
        <v>38</v>
      </c>
      <c r="F80" t="s">
        <v>188</v>
      </c>
      <c r="G80">
        <v>2</v>
      </c>
      <c r="H80">
        <v>2</v>
      </c>
      <c r="I80">
        <v>18.899999999999999</v>
      </c>
      <c r="J80">
        <v>0</v>
      </c>
      <c r="K80">
        <v>37.799999999999997</v>
      </c>
      <c r="L80">
        <v>0</v>
      </c>
    </row>
    <row r="81" spans="1:12" x14ac:dyDescent="0.35">
      <c r="A81">
        <v>1254</v>
      </c>
      <c r="B81" t="s">
        <v>189</v>
      </c>
      <c r="D81" t="s">
        <v>190</v>
      </c>
      <c r="E81">
        <v>2851</v>
      </c>
      <c r="F81" t="s">
        <v>26</v>
      </c>
      <c r="G81">
        <v>1</v>
      </c>
      <c r="H81">
        <v>1</v>
      </c>
      <c r="I81">
        <v>51.9</v>
      </c>
      <c r="J81">
        <v>0</v>
      </c>
      <c r="K81">
        <v>51.9</v>
      </c>
      <c r="L81">
        <v>0</v>
      </c>
    </row>
    <row r="82" spans="1:12" x14ac:dyDescent="0.35">
      <c r="A82">
        <v>1046265</v>
      </c>
      <c r="B82" t="s">
        <v>191</v>
      </c>
      <c r="D82" t="s">
        <v>192</v>
      </c>
      <c r="E82">
        <v>1621</v>
      </c>
      <c r="F82" t="s">
        <v>36</v>
      </c>
      <c r="G82">
        <v>1</v>
      </c>
      <c r="H82">
        <v>1</v>
      </c>
      <c r="I82">
        <v>26.9</v>
      </c>
      <c r="J82">
        <v>0</v>
      </c>
      <c r="K82">
        <v>26.9</v>
      </c>
      <c r="L82">
        <v>0</v>
      </c>
    </row>
    <row r="83" spans="1:12" x14ac:dyDescent="0.35">
      <c r="A83">
        <v>1046265</v>
      </c>
      <c r="B83" t="s">
        <v>191</v>
      </c>
      <c r="D83" t="s">
        <v>192</v>
      </c>
      <c r="E83">
        <v>4694</v>
      </c>
      <c r="F83" t="s">
        <v>69</v>
      </c>
      <c r="G83">
        <v>4</v>
      </c>
      <c r="H83">
        <v>4</v>
      </c>
      <c r="I83">
        <v>26.9</v>
      </c>
      <c r="J83">
        <v>0</v>
      </c>
      <c r="K83">
        <v>107.6</v>
      </c>
      <c r="L83">
        <v>0</v>
      </c>
    </row>
    <row r="84" spans="1:12" x14ac:dyDescent="0.35">
      <c r="A84">
        <v>1047741</v>
      </c>
      <c r="B84" t="s">
        <v>193</v>
      </c>
      <c r="D84" t="s">
        <v>194</v>
      </c>
      <c r="E84">
        <v>2851</v>
      </c>
      <c r="F84" t="s">
        <v>26</v>
      </c>
      <c r="G84">
        <v>3</v>
      </c>
      <c r="H84">
        <v>3</v>
      </c>
      <c r="I84">
        <v>51.9</v>
      </c>
      <c r="J84">
        <v>0</v>
      </c>
      <c r="K84">
        <v>155.69999999999999</v>
      </c>
      <c r="L84">
        <v>0</v>
      </c>
    </row>
    <row r="85" spans="1:12" x14ac:dyDescent="0.35">
      <c r="A85">
        <v>1017756</v>
      </c>
      <c r="B85" t="s">
        <v>195</v>
      </c>
      <c r="D85" s="2">
        <v>45806</v>
      </c>
      <c r="E85">
        <v>1622</v>
      </c>
      <c r="F85" t="s">
        <v>196</v>
      </c>
      <c r="G85">
        <v>8</v>
      </c>
      <c r="H85">
        <v>8</v>
      </c>
      <c r="I85">
        <v>24.9</v>
      </c>
      <c r="J85">
        <v>0</v>
      </c>
      <c r="K85">
        <v>199.2</v>
      </c>
      <c r="L85">
        <v>0</v>
      </c>
    </row>
    <row r="86" spans="1:12" x14ac:dyDescent="0.35">
      <c r="A86">
        <v>1030613</v>
      </c>
      <c r="B86" t="s">
        <v>197</v>
      </c>
      <c r="D86" t="s">
        <v>198</v>
      </c>
      <c r="E86">
        <v>13809</v>
      </c>
      <c r="F86" t="s">
        <v>117</v>
      </c>
      <c r="G86">
        <v>4</v>
      </c>
      <c r="H86">
        <v>4</v>
      </c>
      <c r="I86">
        <v>34.9</v>
      </c>
      <c r="J86">
        <v>0</v>
      </c>
      <c r="K86">
        <v>139.6</v>
      </c>
      <c r="L86">
        <v>0</v>
      </c>
    </row>
    <row r="87" spans="1:12" x14ac:dyDescent="0.35">
      <c r="A87">
        <v>26885</v>
      </c>
      <c r="B87" t="s">
        <v>199</v>
      </c>
      <c r="D87" t="s">
        <v>200</v>
      </c>
      <c r="E87">
        <v>40595</v>
      </c>
      <c r="F87" t="s">
        <v>48</v>
      </c>
      <c r="G87">
        <v>2</v>
      </c>
      <c r="H87">
        <v>2</v>
      </c>
      <c r="I87">
        <v>29.9</v>
      </c>
      <c r="J87">
        <v>0</v>
      </c>
      <c r="K87">
        <v>59.8</v>
      </c>
      <c r="L87">
        <v>0</v>
      </c>
    </row>
    <row r="88" spans="1:12" x14ac:dyDescent="0.35">
      <c r="A88">
        <v>1047843</v>
      </c>
      <c r="B88" t="s">
        <v>201</v>
      </c>
      <c r="D88" t="s">
        <v>202</v>
      </c>
      <c r="E88">
        <v>59924</v>
      </c>
      <c r="F88" t="s">
        <v>203</v>
      </c>
      <c r="G88">
        <v>4.42</v>
      </c>
      <c r="H88">
        <v>4.42</v>
      </c>
      <c r="I88">
        <v>43.9</v>
      </c>
      <c r="J88">
        <v>0</v>
      </c>
      <c r="K88">
        <v>194.03800000000001</v>
      </c>
      <c r="L88">
        <v>0</v>
      </c>
    </row>
    <row r="89" spans="1:12" x14ac:dyDescent="0.35">
      <c r="A89">
        <v>10400</v>
      </c>
      <c r="B89" t="s">
        <v>204</v>
      </c>
      <c r="D89" t="s">
        <v>205</v>
      </c>
      <c r="E89">
        <v>4694</v>
      </c>
      <c r="F89" t="s">
        <v>69</v>
      </c>
      <c r="G89">
        <v>1</v>
      </c>
      <c r="H89">
        <v>1</v>
      </c>
      <c r="I89">
        <v>26.9</v>
      </c>
      <c r="J89">
        <v>0</v>
      </c>
      <c r="K89">
        <v>26.9</v>
      </c>
      <c r="L89">
        <v>0</v>
      </c>
    </row>
    <row r="90" spans="1:12" x14ac:dyDescent="0.35">
      <c r="A90">
        <v>1023375</v>
      </c>
      <c r="B90" t="s">
        <v>206</v>
      </c>
      <c r="D90" t="s">
        <v>207</v>
      </c>
      <c r="E90">
        <v>21645</v>
      </c>
      <c r="F90" t="s">
        <v>208</v>
      </c>
      <c r="G90">
        <v>2.23</v>
      </c>
      <c r="H90">
        <v>2.23</v>
      </c>
      <c r="I90">
        <v>46.9</v>
      </c>
      <c r="J90">
        <v>0</v>
      </c>
      <c r="K90">
        <v>104.587</v>
      </c>
      <c r="L90">
        <v>0</v>
      </c>
    </row>
    <row r="91" spans="1:12" x14ac:dyDescent="0.35">
      <c r="A91">
        <v>1045747</v>
      </c>
      <c r="B91" t="s">
        <v>209</v>
      </c>
      <c r="D91" t="s">
        <v>210</v>
      </c>
      <c r="E91">
        <v>40595</v>
      </c>
      <c r="F91" t="s">
        <v>48</v>
      </c>
      <c r="G91">
        <v>2</v>
      </c>
      <c r="H91">
        <v>2</v>
      </c>
      <c r="I91">
        <v>29.9</v>
      </c>
      <c r="J91">
        <v>0</v>
      </c>
      <c r="K91">
        <v>59.8</v>
      </c>
      <c r="L91">
        <v>0</v>
      </c>
    </row>
    <row r="92" spans="1:12" x14ac:dyDescent="0.35">
      <c r="A92">
        <v>60005</v>
      </c>
      <c r="B92" t="s">
        <v>211</v>
      </c>
      <c r="D92" t="s">
        <v>212</v>
      </c>
      <c r="E92">
        <v>40595</v>
      </c>
      <c r="F92" t="s">
        <v>48</v>
      </c>
      <c r="G92">
        <v>1</v>
      </c>
      <c r="H92">
        <v>1</v>
      </c>
      <c r="I92">
        <v>29.9</v>
      </c>
      <c r="J92">
        <v>0</v>
      </c>
      <c r="K92">
        <v>29.9</v>
      </c>
      <c r="L92">
        <v>0</v>
      </c>
    </row>
    <row r="93" spans="1:12" x14ac:dyDescent="0.35">
      <c r="A93">
        <v>1047998</v>
      </c>
      <c r="B93" t="s">
        <v>213</v>
      </c>
      <c r="D93" t="s">
        <v>214</v>
      </c>
      <c r="E93">
        <v>41</v>
      </c>
      <c r="F93" t="s">
        <v>33</v>
      </c>
      <c r="G93">
        <v>4</v>
      </c>
      <c r="H93">
        <v>4</v>
      </c>
      <c r="I93">
        <v>43.9</v>
      </c>
      <c r="J93">
        <v>0</v>
      </c>
      <c r="K93">
        <v>175.6</v>
      </c>
      <c r="L93">
        <v>0</v>
      </c>
    </row>
    <row r="94" spans="1:12" x14ac:dyDescent="0.35">
      <c r="A94">
        <v>1047998</v>
      </c>
      <c r="B94" t="s">
        <v>213</v>
      </c>
      <c r="D94" t="s">
        <v>214</v>
      </c>
      <c r="E94">
        <v>38</v>
      </c>
      <c r="F94" t="s">
        <v>188</v>
      </c>
      <c r="G94">
        <v>6</v>
      </c>
      <c r="H94">
        <v>6</v>
      </c>
      <c r="I94">
        <v>18.899999999999999</v>
      </c>
      <c r="J94">
        <v>0</v>
      </c>
      <c r="K94">
        <v>113.4</v>
      </c>
      <c r="L94">
        <v>0</v>
      </c>
    </row>
    <row r="95" spans="1:12" x14ac:dyDescent="0.35">
      <c r="A95">
        <v>1032539</v>
      </c>
      <c r="B95" t="s">
        <v>215</v>
      </c>
      <c r="D95" t="s">
        <v>216</v>
      </c>
      <c r="E95">
        <v>17268</v>
      </c>
      <c r="F95" t="s">
        <v>217</v>
      </c>
      <c r="G95">
        <v>4</v>
      </c>
      <c r="H95">
        <v>4</v>
      </c>
      <c r="I95">
        <v>69.900000000000006</v>
      </c>
      <c r="J95">
        <v>0</v>
      </c>
      <c r="K95">
        <v>279.60000000000002</v>
      </c>
      <c r="L95">
        <v>0</v>
      </c>
    </row>
    <row r="96" spans="1:12" x14ac:dyDescent="0.35">
      <c r="A96">
        <v>1047918</v>
      </c>
      <c r="B96" t="s">
        <v>218</v>
      </c>
      <c r="D96" t="s">
        <v>219</v>
      </c>
      <c r="E96">
        <v>40595</v>
      </c>
      <c r="F96" t="s">
        <v>48</v>
      </c>
      <c r="G96">
        <v>3</v>
      </c>
      <c r="H96">
        <v>3</v>
      </c>
      <c r="I96">
        <v>29.9</v>
      </c>
      <c r="J96">
        <v>0</v>
      </c>
      <c r="K96">
        <v>89.7</v>
      </c>
      <c r="L96">
        <v>0</v>
      </c>
    </row>
    <row r="97" spans="1:12" x14ac:dyDescent="0.35">
      <c r="A97">
        <v>42651</v>
      </c>
      <c r="B97" t="s">
        <v>220</v>
      </c>
      <c r="D97" t="s">
        <v>221</v>
      </c>
      <c r="E97">
        <v>40595</v>
      </c>
      <c r="F97" t="s">
        <v>48</v>
      </c>
      <c r="G97">
        <v>12</v>
      </c>
      <c r="H97">
        <v>12</v>
      </c>
      <c r="I97">
        <v>29.9</v>
      </c>
      <c r="J97">
        <v>0</v>
      </c>
      <c r="K97">
        <v>358.8</v>
      </c>
      <c r="L97">
        <v>0</v>
      </c>
    </row>
    <row r="98" spans="1:12" x14ac:dyDescent="0.35">
      <c r="A98">
        <v>45019</v>
      </c>
      <c r="B98" t="s">
        <v>222</v>
      </c>
      <c r="D98" t="s">
        <v>223</v>
      </c>
      <c r="E98">
        <v>2851</v>
      </c>
      <c r="F98" t="s">
        <v>26</v>
      </c>
      <c r="G98">
        <v>15</v>
      </c>
      <c r="H98">
        <v>15</v>
      </c>
      <c r="I98">
        <v>51.9</v>
      </c>
      <c r="J98">
        <v>0</v>
      </c>
      <c r="K98">
        <v>778.5</v>
      </c>
      <c r="L98">
        <v>0</v>
      </c>
    </row>
    <row r="99" spans="1:12" x14ac:dyDescent="0.35">
      <c r="A99">
        <v>6107</v>
      </c>
      <c r="B99" t="s">
        <v>224</v>
      </c>
      <c r="D99" t="s">
        <v>225</v>
      </c>
      <c r="E99">
        <v>40595</v>
      </c>
      <c r="F99" t="s">
        <v>48</v>
      </c>
      <c r="G99">
        <v>10</v>
      </c>
      <c r="H99">
        <v>10</v>
      </c>
      <c r="I99">
        <v>29.9</v>
      </c>
      <c r="J99">
        <v>0</v>
      </c>
      <c r="K99">
        <v>299</v>
      </c>
      <c r="L99">
        <v>0</v>
      </c>
    </row>
    <row r="100" spans="1:12" x14ac:dyDescent="0.35">
      <c r="A100">
        <v>6107</v>
      </c>
      <c r="B100" t="s">
        <v>224</v>
      </c>
      <c r="D100" t="s">
        <v>225</v>
      </c>
      <c r="E100">
        <v>33673</v>
      </c>
      <c r="F100" t="s">
        <v>226</v>
      </c>
      <c r="G100">
        <v>2.62</v>
      </c>
      <c r="H100">
        <v>2.62</v>
      </c>
      <c r="I100">
        <v>44.9</v>
      </c>
      <c r="J100">
        <v>0</v>
      </c>
      <c r="K100">
        <v>117.63800000000001</v>
      </c>
      <c r="L100">
        <v>0</v>
      </c>
    </row>
    <row r="101" spans="1:12" x14ac:dyDescent="0.35">
      <c r="A101">
        <v>6107</v>
      </c>
      <c r="B101" t="s">
        <v>224</v>
      </c>
      <c r="D101" t="s">
        <v>225</v>
      </c>
      <c r="E101">
        <v>33673</v>
      </c>
      <c r="F101" t="s">
        <v>226</v>
      </c>
      <c r="G101">
        <v>7.86</v>
      </c>
      <c r="H101">
        <v>7.86</v>
      </c>
      <c r="I101">
        <v>44.9</v>
      </c>
      <c r="J101">
        <v>0</v>
      </c>
      <c r="K101">
        <v>352.91399999999999</v>
      </c>
      <c r="L101">
        <v>0</v>
      </c>
    </row>
    <row r="102" spans="1:12" x14ac:dyDescent="0.35">
      <c r="A102">
        <v>1033093</v>
      </c>
      <c r="B102" t="s">
        <v>227</v>
      </c>
      <c r="D102" t="s">
        <v>228</v>
      </c>
      <c r="E102">
        <v>3873</v>
      </c>
      <c r="F102" t="s">
        <v>168</v>
      </c>
      <c r="G102">
        <v>1</v>
      </c>
      <c r="H102">
        <v>1</v>
      </c>
      <c r="I102">
        <v>18.899999999999999</v>
      </c>
      <c r="J102">
        <v>0</v>
      </c>
      <c r="K102">
        <v>18.899999999999999</v>
      </c>
      <c r="L102">
        <v>0</v>
      </c>
    </row>
    <row r="103" spans="1:12" x14ac:dyDescent="0.35">
      <c r="A103">
        <v>1033093</v>
      </c>
      <c r="B103" t="s">
        <v>227</v>
      </c>
      <c r="D103" t="s">
        <v>228</v>
      </c>
      <c r="E103">
        <v>59920</v>
      </c>
      <c r="F103" t="s">
        <v>229</v>
      </c>
      <c r="G103">
        <v>2.21</v>
      </c>
      <c r="H103">
        <v>2.21</v>
      </c>
      <c r="I103">
        <v>43.9</v>
      </c>
      <c r="J103">
        <v>0</v>
      </c>
      <c r="K103">
        <v>97.019000000000005</v>
      </c>
      <c r="L103">
        <v>0</v>
      </c>
    </row>
    <row r="104" spans="1:12" x14ac:dyDescent="0.35">
      <c r="A104">
        <v>40843</v>
      </c>
      <c r="B104" t="s">
        <v>230</v>
      </c>
      <c r="D104" t="s">
        <v>231</v>
      </c>
      <c r="E104">
        <v>59948</v>
      </c>
      <c r="F104" t="s">
        <v>232</v>
      </c>
      <c r="G104">
        <v>2.68</v>
      </c>
      <c r="H104">
        <v>2.68</v>
      </c>
      <c r="I104">
        <v>45.9</v>
      </c>
      <c r="J104">
        <v>0</v>
      </c>
      <c r="K104">
        <v>123.012</v>
      </c>
      <c r="L104">
        <v>0</v>
      </c>
    </row>
    <row r="105" spans="1:12" x14ac:dyDescent="0.35">
      <c r="A105">
        <v>1047151</v>
      </c>
      <c r="B105" t="s">
        <v>233</v>
      </c>
      <c r="D105" t="s">
        <v>234</v>
      </c>
      <c r="E105">
        <v>7921</v>
      </c>
      <c r="F105" t="s">
        <v>235</v>
      </c>
      <c r="G105">
        <v>2.62</v>
      </c>
      <c r="H105">
        <v>2.62</v>
      </c>
      <c r="I105">
        <v>52.9</v>
      </c>
      <c r="J105">
        <v>0</v>
      </c>
      <c r="K105">
        <v>138.59800000000001</v>
      </c>
      <c r="L105">
        <v>0</v>
      </c>
    </row>
    <row r="106" spans="1:12" x14ac:dyDescent="0.35">
      <c r="A106">
        <v>1023444</v>
      </c>
      <c r="B106" t="s">
        <v>236</v>
      </c>
      <c r="D106" s="1">
        <v>45828.583333333336</v>
      </c>
      <c r="E106">
        <v>2851</v>
      </c>
      <c r="F106" t="s">
        <v>26</v>
      </c>
      <c r="G106">
        <v>10</v>
      </c>
      <c r="H106">
        <v>10</v>
      </c>
      <c r="I106">
        <v>51.9</v>
      </c>
      <c r="J106">
        <v>0</v>
      </c>
      <c r="K106">
        <v>519</v>
      </c>
      <c r="L106">
        <v>0</v>
      </c>
    </row>
    <row r="107" spans="1:12" x14ac:dyDescent="0.35">
      <c r="A107">
        <v>54799</v>
      </c>
      <c r="B107" t="s">
        <v>237</v>
      </c>
      <c r="D107" t="s">
        <v>238</v>
      </c>
      <c r="E107">
        <v>4694</v>
      </c>
      <c r="F107" t="s">
        <v>69</v>
      </c>
      <c r="G107">
        <v>3</v>
      </c>
      <c r="H107">
        <v>1</v>
      </c>
      <c r="I107">
        <v>26.9</v>
      </c>
      <c r="J107">
        <v>2</v>
      </c>
      <c r="K107">
        <v>26.9</v>
      </c>
      <c r="L107">
        <v>53.8</v>
      </c>
    </row>
    <row r="108" spans="1:12" x14ac:dyDescent="0.35">
      <c r="A108">
        <v>70016</v>
      </c>
      <c r="B108" t="s">
        <v>239</v>
      </c>
      <c r="D108" t="s">
        <v>240</v>
      </c>
      <c r="E108">
        <v>17268</v>
      </c>
      <c r="F108" t="s">
        <v>217</v>
      </c>
      <c r="G108">
        <v>2</v>
      </c>
      <c r="H108">
        <v>2</v>
      </c>
      <c r="I108">
        <v>69.900000000000006</v>
      </c>
      <c r="J108">
        <v>0</v>
      </c>
      <c r="K108">
        <v>139.80000000000001</v>
      </c>
      <c r="L108">
        <v>0</v>
      </c>
    </row>
    <row r="109" spans="1:12" x14ac:dyDescent="0.35">
      <c r="A109">
        <v>70016</v>
      </c>
      <c r="B109" t="s">
        <v>239</v>
      </c>
      <c r="D109" t="s">
        <v>240</v>
      </c>
      <c r="E109">
        <v>2851</v>
      </c>
      <c r="F109" t="s">
        <v>26</v>
      </c>
      <c r="G109">
        <v>4</v>
      </c>
      <c r="H109">
        <v>4</v>
      </c>
      <c r="I109">
        <v>51.9</v>
      </c>
      <c r="J109">
        <v>0</v>
      </c>
      <c r="K109">
        <v>207.6</v>
      </c>
      <c r="L109">
        <v>0</v>
      </c>
    </row>
    <row r="110" spans="1:12" x14ac:dyDescent="0.35">
      <c r="A110">
        <v>1012436</v>
      </c>
      <c r="B110" t="s">
        <v>241</v>
      </c>
      <c r="D110" t="s">
        <v>242</v>
      </c>
      <c r="E110">
        <v>8234</v>
      </c>
      <c r="F110" t="s">
        <v>243</v>
      </c>
      <c r="G110">
        <v>1</v>
      </c>
      <c r="H110">
        <v>1</v>
      </c>
      <c r="I110">
        <v>26.9</v>
      </c>
      <c r="J110">
        <v>0</v>
      </c>
      <c r="K110">
        <v>26.9</v>
      </c>
      <c r="L110">
        <v>0</v>
      </c>
    </row>
    <row r="111" spans="1:12" x14ac:dyDescent="0.35">
      <c r="A111">
        <v>26751</v>
      </c>
      <c r="B111" t="s">
        <v>244</v>
      </c>
      <c r="D111" t="s">
        <v>245</v>
      </c>
      <c r="E111">
        <v>59938</v>
      </c>
      <c r="F111" t="s">
        <v>246</v>
      </c>
      <c r="G111">
        <v>2.68</v>
      </c>
      <c r="H111">
        <v>2.68</v>
      </c>
      <c r="I111">
        <v>45.9</v>
      </c>
      <c r="J111">
        <v>0</v>
      </c>
      <c r="K111">
        <v>123.012</v>
      </c>
      <c r="L111">
        <v>0</v>
      </c>
    </row>
    <row r="112" spans="1:12" x14ac:dyDescent="0.35">
      <c r="A112">
        <v>7920</v>
      </c>
      <c r="B112" t="s">
        <v>247</v>
      </c>
      <c r="D112" t="s">
        <v>248</v>
      </c>
      <c r="E112">
        <v>2682</v>
      </c>
      <c r="F112" t="s">
        <v>29</v>
      </c>
      <c r="G112">
        <v>3</v>
      </c>
      <c r="H112">
        <v>3</v>
      </c>
      <c r="I112">
        <v>82.9</v>
      </c>
      <c r="J112">
        <v>0</v>
      </c>
      <c r="K112">
        <v>248.7</v>
      </c>
      <c r="L112">
        <v>0</v>
      </c>
    </row>
    <row r="113" spans="1:12" x14ac:dyDescent="0.35">
      <c r="A113">
        <v>1045122</v>
      </c>
      <c r="B113" t="s">
        <v>249</v>
      </c>
      <c r="D113" t="s">
        <v>250</v>
      </c>
      <c r="E113">
        <v>901</v>
      </c>
      <c r="F113" t="s">
        <v>14</v>
      </c>
      <c r="G113">
        <v>1</v>
      </c>
      <c r="H113">
        <v>1</v>
      </c>
      <c r="I113">
        <v>59.9</v>
      </c>
      <c r="J113">
        <v>0</v>
      </c>
      <c r="K113">
        <v>59.9</v>
      </c>
      <c r="L113">
        <v>0</v>
      </c>
    </row>
    <row r="114" spans="1:12" x14ac:dyDescent="0.35">
      <c r="A114">
        <v>1021234</v>
      </c>
      <c r="B114" t="s">
        <v>251</v>
      </c>
      <c r="D114" t="s">
        <v>252</v>
      </c>
      <c r="E114">
        <v>53253</v>
      </c>
      <c r="F114" t="s">
        <v>253</v>
      </c>
      <c r="G114">
        <v>20</v>
      </c>
      <c r="H114">
        <v>20</v>
      </c>
      <c r="I114">
        <v>26.9</v>
      </c>
      <c r="J114">
        <v>0</v>
      </c>
      <c r="K114">
        <v>538</v>
      </c>
      <c r="L114">
        <v>0</v>
      </c>
    </row>
    <row r="115" spans="1:12" x14ac:dyDescent="0.35">
      <c r="A115">
        <v>1021234</v>
      </c>
      <c r="B115" t="s">
        <v>251</v>
      </c>
      <c r="D115" t="s">
        <v>252</v>
      </c>
      <c r="E115">
        <v>53253</v>
      </c>
      <c r="F115" t="s">
        <v>253</v>
      </c>
      <c r="G115">
        <v>60</v>
      </c>
      <c r="H115">
        <v>60</v>
      </c>
      <c r="I115">
        <v>26.9</v>
      </c>
      <c r="J115">
        <v>0</v>
      </c>
      <c r="K115">
        <v>1614</v>
      </c>
      <c r="L115">
        <v>0</v>
      </c>
    </row>
    <row r="116" spans="1:12" x14ac:dyDescent="0.35">
      <c r="A116">
        <v>1004538</v>
      </c>
      <c r="B116" t="s">
        <v>254</v>
      </c>
      <c r="D116" t="s">
        <v>255</v>
      </c>
      <c r="E116">
        <v>41</v>
      </c>
      <c r="F116" t="s">
        <v>33</v>
      </c>
      <c r="G116">
        <v>1</v>
      </c>
      <c r="H116">
        <v>1</v>
      </c>
      <c r="I116">
        <v>43.9</v>
      </c>
      <c r="J116">
        <v>0</v>
      </c>
      <c r="K116">
        <v>43.9</v>
      </c>
      <c r="L116">
        <v>0</v>
      </c>
    </row>
    <row r="117" spans="1:12" x14ac:dyDescent="0.35">
      <c r="A117">
        <v>1004538</v>
      </c>
      <c r="B117" t="s">
        <v>254</v>
      </c>
      <c r="D117" t="s">
        <v>255</v>
      </c>
      <c r="E117">
        <v>14547</v>
      </c>
      <c r="F117" t="s">
        <v>256</v>
      </c>
      <c r="G117">
        <v>1</v>
      </c>
      <c r="H117">
        <v>1</v>
      </c>
      <c r="I117">
        <v>895.49099999999999</v>
      </c>
      <c r="J117">
        <v>0</v>
      </c>
      <c r="K117">
        <v>895.49099999999999</v>
      </c>
      <c r="L117">
        <v>0</v>
      </c>
    </row>
    <row r="118" spans="1:12" x14ac:dyDescent="0.35">
      <c r="A118">
        <v>119</v>
      </c>
      <c r="B118" t="s">
        <v>257</v>
      </c>
      <c r="D118" t="s">
        <v>258</v>
      </c>
      <c r="E118">
        <v>8107</v>
      </c>
      <c r="F118" t="s">
        <v>259</v>
      </c>
      <c r="G118">
        <v>2</v>
      </c>
      <c r="H118">
        <v>2</v>
      </c>
      <c r="I118">
        <v>44.9</v>
      </c>
      <c r="J118">
        <v>0</v>
      </c>
      <c r="K118">
        <v>89.8</v>
      </c>
      <c r="L118">
        <v>0</v>
      </c>
    </row>
    <row r="119" spans="1:12" x14ac:dyDescent="0.35">
      <c r="A119">
        <v>1048345</v>
      </c>
      <c r="B119" t="s">
        <v>260</v>
      </c>
      <c r="D119" t="s">
        <v>261</v>
      </c>
      <c r="E119">
        <v>34937</v>
      </c>
      <c r="F119" t="s">
        <v>262</v>
      </c>
      <c r="G119">
        <v>2</v>
      </c>
      <c r="H119">
        <v>2</v>
      </c>
      <c r="I119">
        <v>129.9</v>
      </c>
      <c r="J119">
        <v>0</v>
      </c>
      <c r="K119">
        <v>259.8</v>
      </c>
      <c r="L119">
        <v>0</v>
      </c>
    </row>
    <row r="120" spans="1:12" x14ac:dyDescent="0.35">
      <c r="A120">
        <v>1036241</v>
      </c>
      <c r="B120" t="s">
        <v>263</v>
      </c>
      <c r="D120" s="1">
        <v>45839.690451388888</v>
      </c>
      <c r="E120">
        <v>47671</v>
      </c>
      <c r="F120" t="s">
        <v>58</v>
      </c>
      <c r="G120">
        <v>1</v>
      </c>
      <c r="H120">
        <v>1</v>
      </c>
      <c r="I120">
        <v>299.89999999999998</v>
      </c>
      <c r="J120">
        <v>0</v>
      </c>
      <c r="K120">
        <v>299.89999999999998</v>
      </c>
      <c r="L120">
        <v>0</v>
      </c>
    </row>
    <row r="121" spans="1:12" x14ac:dyDescent="0.35">
      <c r="A121">
        <v>41256</v>
      </c>
      <c r="B121" t="s">
        <v>264</v>
      </c>
      <c r="D121" s="2">
        <v>45840</v>
      </c>
      <c r="E121">
        <v>60502</v>
      </c>
      <c r="F121" t="s">
        <v>265</v>
      </c>
      <c r="G121">
        <v>3</v>
      </c>
      <c r="H121">
        <v>3</v>
      </c>
      <c r="I121">
        <v>1590.9</v>
      </c>
      <c r="J121">
        <v>0</v>
      </c>
      <c r="K121">
        <v>4772.7</v>
      </c>
      <c r="L121">
        <v>0</v>
      </c>
    </row>
    <row r="122" spans="1:12" x14ac:dyDescent="0.35">
      <c r="A122">
        <v>1048669</v>
      </c>
      <c r="B122" t="s">
        <v>266</v>
      </c>
      <c r="D122" t="s">
        <v>267</v>
      </c>
      <c r="E122">
        <v>239</v>
      </c>
      <c r="F122" t="s">
        <v>268</v>
      </c>
      <c r="G122">
        <v>4</v>
      </c>
      <c r="H122">
        <v>4</v>
      </c>
      <c r="I122">
        <v>26.9</v>
      </c>
      <c r="J122">
        <v>0</v>
      </c>
      <c r="K122">
        <v>107.6</v>
      </c>
      <c r="L122">
        <v>0</v>
      </c>
    </row>
    <row r="123" spans="1:12" x14ac:dyDescent="0.35">
      <c r="A123">
        <v>1045962</v>
      </c>
      <c r="B123" t="s">
        <v>269</v>
      </c>
      <c r="D123" t="s">
        <v>270</v>
      </c>
      <c r="E123">
        <v>15682</v>
      </c>
      <c r="F123" t="s">
        <v>271</v>
      </c>
      <c r="G123">
        <v>4.46</v>
      </c>
      <c r="H123">
        <v>4.46</v>
      </c>
      <c r="I123">
        <v>46.9</v>
      </c>
      <c r="J123">
        <v>0</v>
      </c>
      <c r="K123">
        <v>209.17400000000001</v>
      </c>
      <c r="L123">
        <v>0</v>
      </c>
    </row>
    <row r="124" spans="1:12" x14ac:dyDescent="0.35">
      <c r="A124">
        <v>1048608</v>
      </c>
      <c r="B124" t="s">
        <v>272</v>
      </c>
      <c r="D124" t="s">
        <v>273</v>
      </c>
      <c r="E124">
        <v>51364</v>
      </c>
      <c r="F124" t="s">
        <v>274</v>
      </c>
      <c r="G124">
        <v>2.0299999999999998</v>
      </c>
      <c r="H124">
        <v>2.0299999999999998</v>
      </c>
      <c r="I124">
        <v>73.900000000000006</v>
      </c>
      <c r="J124">
        <v>0</v>
      </c>
      <c r="K124">
        <v>150.017</v>
      </c>
      <c r="L124">
        <v>0</v>
      </c>
    </row>
    <row r="125" spans="1:12" x14ac:dyDescent="0.35">
      <c r="A125">
        <v>1048462</v>
      </c>
      <c r="B125" t="s">
        <v>275</v>
      </c>
      <c r="D125" s="1">
        <v>45842.333333333336</v>
      </c>
      <c r="E125">
        <v>31708</v>
      </c>
      <c r="F125" t="s">
        <v>276</v>
      </c>
      <c r="G125">
        <v>2</v>
      </c>
      <c r="H125">
        <v>2</v>
      </c>
      <c r="I125">
        <v>83.9</v>
      </c>
      <c r="J125">
        <v>0</v>
      </c>
      <c r="K125">
        <v>167.8</v>
      </c>
      <c r="L125">
        <v>0</v>
      </c>
    </row>
    <row r="126" spans="1:12" x14ac:dyDescent="0.35">
      <c r="A126">
        <v>1047208</v>
      </c>
      <c r="B126" t="s">
        <v>277</v>
      </c>
      <c r="D126" s="1">
        <v>45842.43959490741</v>
      </c>
      <c r="E126">
        <v>8270</v>
      </c>
      <c r="F126" t="s">
        <v>278</v>
      </c>
      <c r="G126">
        <v>1</v>
      </c>
      <c r="H126">
        <v>1</v>
      </c>
      <c r="I126">
        <v>413.9</v>
      </c>
      <c r="J126">
        <v>0</v>
      </c>
      <c r="K126">
        <v>413.9</v>
      </c>
      <c r="L126">
        <v>0</v>
      </c>
    </row>
    <row r="127" spans="1:12" x14ac:dyDescent="0.35">
      <c r="A127">
        <v>1047864</v>
      </c>
      <c r="B127" t="s">
        <v>279</v>
      </c>
      <c r="D127" t="s">
        <v>280</v>
      </c>
      <c r="E127">
        <v>5458</v>
      </c>
      <c r="F127" t="s">
        <v>281</v>
      </c>
      <c r="G127">
        <v>4</v>
      </c>
      <c r="H127">
        <v>4</v>
      </c>
      <c r="I127">
        <v>44.9</v>
      </c>
      <c r="J127">
        <v>0</v>
      </c>
      <c r="K127">
        <v>179.6</v>
      </c>
      <c r="L127">
        <v>0</v>
      </c>
    </row>
    <row r="128" spans="1:12" x14ac:dyDescent="0.35">
      <c r="A128">
        <v>54799</v>
      </c>
      <c r="B128" t="s">
        <v>237</v>
      </c>
      <c r="D128" t="s">
        <v>282</v>
      </c>
      <c r="E128">
        <v>38</v>
      </c>
      <c r="F128" t="s">
        <v>188</v>
      </c>
      <c r="G128">
        <v>1</v>
      </c>
      <c r="H128">
        <v>1</v>
      </c>
      <c r="I128">
        <v>18.899999999999999</v>
      </c>
      <c r="J128">
        <v>0</v>
      </c>
      <c r="K128">
        <v>18.899999999999999</v>
      </c>
      <c r="L128">
        <v>0</v>
      </c>
    </row>
    <row r="129" spans="1:12" x14ac:dyDescent="0.35">
      <c r="A129">
        <v>54799</v>
      </c>
      <c r="B129" t="s">
        <v>237</v>
      </c>
      <c r="D129" t="s">
        <v>282</v>
      </c>
      <c r="E129">
        <v>39</v>
      </c>
      <c r="F129" t="s">
        <v>108</v>
      </c>
      <c r="G129">
        <v>1</v>
      </c>
      <c r="H129">
        <v>1</v>
      </c>
      <c r="I129">
        <v>18.899999999999999</v>
      </c>
      <c r="J129">
        <v>0</v>
      </c>
      <c r="K129">
        <v>18.899999999999999</v>
      </c>
      <c r="L129">
        <v>0</v>
      </c>
    </row>
    <row r="130" spans="1:12" x14ac:dyDescent="0.35">
      <c r="A130">
        <v>1041027</v>
      </c>
      <c r="B130" t="s">
        <v>283</v>
      </c>
      <c r="D130" t="s">
        <v>284</v>
      </c>
      <c r="E130">
        <v>40595</v>
      </c>
      <c r="F130" t="s">
        <v>48</v>
      </c>
      <c r="G130">
        <v>3</v>
      </c>
      <c r="H130">
        <v>3</v>
      </c>
      <c r="I130">
        <v>29.9</v>
      </c>
      <c r="J130">
        <v>0</v>
      </c>
      <c r="K130">
        <v>89.7</v>
      </c>
      <c r="L130">
        <v>0</v>
      </c>
    </row>
    <row r="131" spans="1:12" x14ac:dyDescent="0.35">
      <c r="A131">
        <v>1041027</v>
      </c>
      <c r="B131" t="s">
        <v>283</v>
      </c>
      <c r="D131" t="s">
        <v>284</v>
      </c>
      <c r="E131">
        <v>39</v>
      </c>
      <c r="F131" t="s">
        <v>108</v>
      </c>
      <c r="G131">
        <v>3</v>
      </c>
      <c r="H131">
        <v>3</v>
      </c>
      <c r="I131">
        <v>18.899999999999999</v>
      </c>
      <c r="J131">
        <v>0</v>
      </c>
      <c r="K131">
        <v>56.7</v>
      </c>
      <c r="L131">
        <v>0</v>
      </c>
    </row>
    <row r="132" spans="1:12" x14ac:dyDescent="0.35">
      <c r="A132">
        <v>1010262</v>
      </c>
      <c r="B132" t="s">
        <v>285</v>
      </c>
      <c r="D132" t="s">
        <v>286</v>
      </c>
      <c r="E132">
        <v>13984</v>
      </c>
      <c r="F132" t="s">
        <v>17</v>
      </c>
      <c r="G132">
        <v>1</v>
      </c>
      <c r="H132">
        <v>1</v>
      </c>
      <c r="I132">
        <v>109.9</v>
      </c>
      <c r="J132">
        <v>0</v>
      </c>
      <c r="K132">
        <v>109.9</v>
      </c>
      <c r="L132">
        <v>0</v>
      </c>
    </row>
    <row r="133" spans="1:12" x14ac:dyDescent="0.35">
      <c r="A133">
        <v>47787</v>
      </c>
      <c r="B133" t="s">
        <v>287</v>
      </c>
      <c r="D133" t="s">
        <v>288</v>
      </c>
      <c r="E133">
        <v>17268</v>
      </c>
      <c r="F133" t="s">
        <v>217</v>
      </c>
      <c r="G133">
        <v>4</v>
      </c>
      <c r="H133">
        <v>4</v>
      </c>
      <c r="I133">
        <v>69.900000000000006</v>
      </c>
      <c r="J133">
        <v>0</v>
      </c>
      <c r="K133">
        <v>279.60000000000002</v>
      </c>
      <c r="L133">
        <v>0</v>
      </c>
    </row>
    <row r="134" spans="1:12" x14ac:dyDescent="0.35">
      <c r="A134">
        <v>11068</v>
      </c>
      <c r="B134" t="s">
        <v>289</v>
      </c>
      <c r="D134" t="s">
        <v>290</v>
      </c>
      <c r="E134">
        <v>54</v>
      </c>
      <c r="F134" t="s">
        <v>51</v>
      </c>
      <c r="G134">
        <v>1</v>
      </c>
      <c r="H134">
        <v>1</v>
      </c>
      <c r="I134">
        <v>105.9</v>
      </c>
      <c r="J134">
        <v>0</v>
      </c>
      <c r="K134">
        <v>105.9</v>
      </c>
      <c r="L134">
        <v>0</v>
      </c>
    </row>
    <row r="135" spans="1:12" x14ac:dyDescent="0.35">
      <c r="A135">
        <v>1021839</v>
      </c>
      <c r="B135" t="s">
        <v>291</v>
      </c>
      <c r="D135" t="s">
        <v>292</v>
      </c>
      <c r="E135">
        <v>40595</v>
      </c>
      <c r="F135" t="s">
        <v>48</v>
      </c>
      <c r="G135">
        <v>4</v>
      </c>
      <c r="H135">
        <v>4</v>
      </c>
      <c r="I135">
        <v>29.9</v>
      </c>
      <c r="J135">
        <v>0</v>
      </c>
      <c r="K135">
        <v>119.6</v>
      </c>
      <c r="L135">
        <v>0</v>
      </c>
    </row>
    <row r="136" spans="1:12" x14ac:dyDescent="0.35">
      <c r="A136">
        <v>1042734</v>
      </c>
      <c r="B136" t="s">
        <v>293</v>
      </c>
      <c r="D136" t="s">
        <v>294</v>
      </c>
      <c r="E136">
        <v>51441</v>
      </c>
      <c r="F136" t="s">
        <v>295</v>
      </c>
      <c r="G136">
        <v>1.97</v>
      </c>
      <c r="H136">
        <v>1.97</v>
      </c>
      <c r="I136">
        <v>59.9</v>
      </c>
      <c r="J136">
        <v>0</v>
      </c>
      <c r="K136">
        <v>118.003</v>
      </c>
      <c r="L136">
        <v>0</v>
      </c>
    </row>
    <row r="137" spans="1:12" x14ac:dyDescent="0.35">
      <c r="A137">
        <v>99143</v>
      </c>
      <c r="B137" t="s">
        <v>296</v>
      </c>
      <c r="D137" t="s">
        <v>297</v>
      </c>
      <c r="E137">
        <v>40595</v>
      </c>
      <c r="F137" t="s">
        <v>48</v>
      </c>
      <c r="G137">
        <v>1</v>
      </c>
      <c r="H137">
        <v>1</v>
      </c>
      <c r="I137">
        <v>29.9</v>
      </c>
      <c r="J137">
        <v>0</v>
      </c>
      <c r="K137">
        <v>29.9</v>
      </c>
      <c r="L137">
        <v>0</v>
      </c>
    </row>
    <row r="138" spans="1:12" x14ac:dyDescent="0.35">
      <c r="A138">
        <v>99143</v>
      </c>
      <c r="B138" t="s">
        <v>296</v>
      </c>
      <c r="D138" t="s">
        <v>297</v>
      </c>
      <c r="E138">
        <v>49099</v>
      </c>
      <c r="F138" t="s">
        <v>298</v>
      </c>
      <c r="G138">
        <v>2.71</v>
      </c>
      <c r="H138">
        <v>2.71</v>
      </c>
      <c r="I138">
        <v>51.9</v>
      </c>
      <c r="J138">
        <v>0</v>
      </c>
      <c r="K138">
        <v>140.649</v>
      </c>
      <c r="L138">
        <v>0</v>
      </c>
    </row>
    <row r="139" spans="1:12" x14ac:dyDescent="0.35">
      <c r="A139">
        <v>1041988</v>
      </c>
      <c r="B139" t="s">
        <v>299</v>
      </c>
      <c r="D139" t="s">
        <v>300</v>
      </c>
      <c r="E139">
        <v>40595</v>
      </c>
      <c r="F139" t="s">
        <v>48</v>
      </c>
      <c r="G139">
        <v>2</v>
      </c>
      <c r="H139">
        <v>2</v>
      </c>
      <c r="I139">
        <v>29.9</v>
      </c>
      <c r="J139">
        <v>0</v>
      </c>
      <c r="K139">
        <v>59.8</v>
      </c>
      <c r="L139">
        <v>0</v>
      </c>
    </row>
    <row r="140" spans="1:12" x14ac:dyDescent="0.35">
      <c r="A140">
        <v>1041988</v>
      </c>
      <c r="B140" t="s">
        <v>299</v>
      </c>
      <c r="D140" t="s">
        <v>300</v>
      </c>
      <c r="E140">
        <v>37</v>
      </c>
      <c r="F140" t="s">
        <v>45</v>
      </c>
      <c r="G140">
        <v>2</v>
      </c>
      <c r="H140">
        <v>2</v>
      </c>
      <c r="I140">
        <v>18.899999999999999</v>
      </c>
      <c r="J140">
        <v>0</v>
      </c>
      <c r="K140">
        <v>37.799999999999997</v>
      </c>
      <c r="L140">
        <v>0</v>
      </c>
    </row>
    <row r="141" spans="1:12" x14ac:dyDescent="0.35">
      <c r="A141">
        <v>1021790</v>
      </c>
      <c r="B141" t="s">
        <v>301</v>
      </c>
      <c r="D141" t="s">
        <v>302</v>
      </c>
      <c r="E141">
        <v>14684</v>
      </c>
      <c r="F141" t="s">
        <v>303</v>
      </c>
      <c r="G141">
        <v>2.74</v>
      </c>
      <c r="H141">
        <v>2.74</v>
      </c>
      <c r="I141">
        <v>334.9</v>
      </c>
      <c r="J141">
        <v>0</v>
      </c>
      <c r="K141">
        <v>917.62599999999998</v>
      </c>
      <c r="L141">
        <v>0</v>
      </c>
    </row>
    <row r="142" spans="1:12" x14ac:dyDescent="0.35">
      <c r="A142">
        <v>59032</v>
      </c>
      <c r="B142" t="s">
        <v>304</v>
      </c>
      <c r="D142" t="s">
        <v>305</v>
      </c>
      <c r="E142">
        <v>40474</v>
      </c>
      <c r="F142" t="s">
        <v>98</v>
      </c>
      <c r="G142">
        <v>5</v>
      </c>
      <c r="H142">
        <v>5</v>
      </c>
      <c r="I142">
        <v>24.9</v>
      </c>
      <c r="J142">
        <v>0</v>
      </c>
      <c r="K142">
        <v>124.5</v>
      </c>
      <c r="L142">
        <v>0</v>
      </c>
    </row>
    <row r="143" spans="1:12" x14ac:dyDescent="0.35">
      <c r="A143">
        <v>1048893</v>
      </c>
      <c r="B143" t="s">
        <v>306</v>
      </c>
      <c r="D143" t="s">
        <v>307</v>
      </c>
      <c r="E143">
        <v>48002</v>
      </c>
      <c r="F143" t="s">
        <v>308</v>
      </c>
      <c r="G143">
        <v>2.2999999999999998</v>
      </c>
      <c r="H143">
        <v>2.2999999999999998</v>
      </c>
      <c r="I143">
        <v>40.9</v>
      </c>
      <c r="J143">
        <v>0</v>
      </c>
      <c r="K143">
        <v>94.07</v>
      </c>
      <c r="L143">
        <v>0</v>
      </c>
    </row>
    <row r="144" spans="1:12" x14ac:dyDescent="0.35">
      <c r="A144">
        <v>1033717</v>
      </c>
      <c r="B144" t="s">
        <v>309</v>
      </c>
      <c r="D144" t="s">
        <v>310</v>
      </c>
      <c r="E144">
        <v>13983</v>
      </c>
      <c r="F144" t="s">
        <v>311</v>
      </c>
      <c r="G144">
        <v>2</v>
      </c>
      <c r="H144">
        <v>2</v>
      </c>
      <c r="I144">
        <v>169.9</v>
      </c>
      <c r="J144">
        <v>0</v>
      </c>
      <c r="K144">
        <v>339.8</v>
      </c>
      <c r="L144">
        <v>0</v>
      </c>
    </row>
    <row r="145" spans="1:12" x14ac:dyDescent="0.35">
      <c r="A145">
        <v>789</v>
      </c>
      <c r="B145" t="s">
        <v>312</v>
      </c>
      <c r="D145" t="s">
        <v>313</v>
      </c>
      <c r="E145">
        <v>40595</v>
      </c>
      <c r="F145" t="s">
        <v>48</v>
      </c>
      <c r="G145">
        <v>6</v>
      </c>
      <c r="H145">
        <v>6</v>
      </c>
      <c r="I145">
        <v>29.9</v>
      </c>
      <c r="J145">
        <v>0</v>
      </c>
      <c r="K145">
        <v>179.4</v>
      </c>
      <c r="L145">
        <v>0</v>
      </c>
    </row>
    <row r="146" spans="1:12" x14ac:dyDescent="0.35">
      <c r="A146">
        <v>789</v>
      </c>
      <c r="B146" t="s">
        <v>312</v>
      </c>
      <c r="D146" t="s">
        <v>313</v>
      </c>
      <c r="E146">
        <v>8127</v>
      </c>
      <c r="F146" t="s">
        <v>314</v>
      </c>
      <c r="G146">
        <v>16.100000000000001</v>
      </c>
      <c r="H146">
        <v>16.100000000000001</v>
      </c>
      <c r="I146">
        <v>43.9</v>
      </c>
      <c r="J146">
        <v>0</v>
      </c>
      <c r="K146">
        <v>706.79</v>
      </c>
      <c r="L146">
        <v>0</v>
      </c>
    </row>
    <row r="147" spans="1:12" x14ac:dyDescent="0.35">
      <c r="A147">
        <v>789</v>
      </c>
      <c r="B147" t="s">
        <v>312</v>
      </c>
      <c r="D147" t="s">
        <v>313</v>
      </c>
      <c r="E147">
        <v>38</v>
      </c>
      <c r="F147" t="s">
        <v>188</v>
      </c>
      <c r="G147">
        <v>2</v>
      </c>
      <c r="H147">
        <v>2</v>
      </c>
      <c r="I147">
        <v>18.899999999999999</v>
      </c>
      <c r="J147">
        <v>0</v>
      </c>
      <c r="K147">
        <v>37.799999999999997</v>
      </c>
      <c r="L147">
        <v>0</v>
      </c>
    </row>
    <row r="148" spans="1:12" x14ac:dyDescent="0.35">
      <c r="A148">
        <v>1049382</v>
      </c>
      <c r="B148" t="s">
        <v>315</v>
      </c>
      <c r="D148" t="s">
        <v>316</v>
      </c>
      <c r="E148">
        <v>29497</v>
      </c>
      <c r="F148" t="s">
        <v>317</v>
      </c>
      <c r="G148">
        <v>1</v>
      </c>
      <c r="H148">
        <v>1</v>
      </c>
      <c r="I148">
        <v>302.89999999999998</v>
      </c>
      <c r="J148">
        <v>0</v>
      </c>
      <c r="K148">
        <v>302.89999999999998</v>
      </c>
      <c r="L148">
        <v>0</v>
      </c>
    </row>
    <row r="149" spans="1:12" x14ac:dyDescent="0.35">
      <c r="A149">
        <v>2530</v>
      </c>
      <c r="B149" t="s">
        <v>318</v>
      </c>
      <c r="D149" t="s">
        <v>319</v>
      </c>
      <c r="E149">
        <v>54</v>
      </c>
      <c r="F149" t="s">
        <v>51</v>
      </c>
      <c r="G149">
        <v>3</v>
      </c>
      <c r="H149">
        <v>3</v>
      </c>
      <c r="I149">
        <v>105.9</v>
      </c>
      <c r="J149">
        <v>0</v>
      </c>
      <c r="K149">
        <v>317.7</v>
      </c>
      <c r="L149">
        <v>0</v>
      </c>
    </row>
    <row r="150" spans="1:12" x14ac:dyDescent="0.35">
      <c r="A150">
        <v>2530</v>
      </c>
      <c r="B150" t="s">
        <v>318</v>
      </c>
      <c r="D150" t="s">
        <v>319</v>
      </c>
      <c r="E150">
        <v>39028</v>
      </c>
      <c r="F150" t="s">
        <v>320</v>
      </c>
      <c r="G150">
        <v>5.24</v>
      </c>
      <c r="H150">
        <v>5.24</v>
      </c>
      <c r="I150">
        <v>44.9</v>
      </c>
      <c r="J150">
        <v>0</v>
      </c>
      <c r="K150">
        <v>235.27600000000001</v>
      </c>
      <c r="L150">
        <v>0</v>
      </c>
    </row>
    <row r="151" spans="1:12" x14ac:dyDescent="0.35">
      <c r="A151">
        <v>24693</v>
      </c>
      <c r="B151" t="s">
        <v>321</v>
      </c>
      <c r="D151" t="s">
        <v>322</v>
      </c>
      <c r="E151">
        <v>41443</v>
      </c>
      <c r="F151" t="s">
        <v>323</v>
      </c>
      <c r="G151">
        <v>10.8</v>
      </c>
      <c r="H151">
        <v>10.8</v>
      </c>
      <c r="I151">
        <v>89.9</v>
      </c>
      <c r="J151">
        <v>0</v>
      </c>
      <c r="K151">
        <v>970.92</v>
      </c>
      <c r="L151">
        <v>0</v>
      </c>
    </row>
    <row r="152" spans="1:12" x14ac:dyDescent="0.35">
      <c r="A152">
        <v>24693</v>
      </c>
      <c r="B152" t="s">
        <v>321</v>
      </c>
      <c r="D152" t="s">
        <v>322</v>
      </c>
      <c r="E152">
        <v>60306</v>
      </c>
      <c r="F152" t="s">
        <v>324</v>
      </c>
      <c r="G152">
        <v>43.74</v>
      </c>
      <c r="H152">
        <v>43.74</v>
      </c>
      <c r="I152">
        <v>169.9</v>
      </c>
      <c r="J152">
        <v>0</v>
      </c>
      <c r="K152">
        <v>7431.4260000000004</v>
      </c>
      <c r="L152">
        <v>0</v>
      </c>
    </row>
    <row r="153" spans="1:12" x14ac:dyDescent="0.35">
      <c r="A153">
        <v>1026632</v>
      </c>
      <c r="B153" t="s">
        <v>325</v>
      </c>
      <c r="D153" t="s">
        <v>326</v>
      </c>
      <c r="E153">
        <v>48002</v>
      </c>
      <c r="F153" t="s">
        <v>308</v>
      </c>
      <c r="G153">
        <v>4.5999999999999996</v>
      </c>
      <c r="H153">
        <v>4.5999999999999996</v>
      </c>
      <c r="I153">
        <v>40.9</v>
      </c>
      <c r="J153">
        <v>0</v>
      </c>
      <c r="K153">
        <v>188.14</v>
      </c>
      <c r="L153">
        <v>0</v>
      </c>
    </row>
    <row r="154" spans="1:12" x14ac:dyDescent="0.35">
      <c r="A154">
        <v>1026632</v>
      </c>
      <c r="B154" t="s">
        <v>325</v>
      </c>
      <c r="D154" t="s">
        <v>326</v>
      </c>
      <c r="E154">
        <v>48002</v>
      </c>
      <c r="F154" t="s">
        <v>308</v>
      </c>
      <c r="G154">
        <v>2.2999999999999998</v>
      </c>
      <c r="H154">
        <v>2.2999999999999998</v>
      </c>
      <c r="I154">
        <v>40.9</v>
      </c>
      <c r="J154">
        <v>0</v>
      </c>
      <c r="K154">
        <v>94.07</v>
      </c>
      <c r="L154">
        <v>0</v>
      </c>
    </row>
    <row r="155" spans="1:12" x14ac:dyDescent="0.35">
      <c r="A155">
        <v>1019423</v>
      </c>
      <c r="B155" t="s">
        <v>327</v>
      </c>
      <c r="D155" t="s">
        <v>328</v>
      </c>
      <c r="E155">
        <v>50518</v>
      </c>
      <c r="F155" t="s">
        <v>329</v>
      </c>
      <c r="G155">
        <v>2.31</v>
      </c>
      <c r="H155">
        <v>2.31</v>
      </c>
      <c r="I155">
        <v>104.9</v>
      </c>
      <c r="J155">
        <v>0</v>
      </c>
      <c r="K155">
        <v>242.31899999999999</v>
      </c>
      <c r="L155">
        <v>0</v>
      </c>
    </row>
    <row r="156" spans="1:12" x14ac:dyDescent="0.35">
      <c r="A156">
        <v>1027843</v>
      </c>
      <c r="B156" t="s">
        <v>330</v>
      </c>
      <c r="D156" t="s">
        <v>331</v>
      </c>
      <c r="E156">
        <v>60572</v>
      </c>
      <c r="F156" t="s">
        <v>332</v>
      </c>
      <c r="G156">
        <v>2.79</v>
      </c>
      <c r="H156">
        <v>2.79</v>
      </c>
      <c r="I156">
        <v>49.9</v>
      </c>
      <c r="J156">
        <v>0</v>
      </c>
      <c r="K156">
        <v>139.221</v>
      </c>
      <c r="L156">
        <v>0</v>
      </c>
    </row>
    <row r="157" spans="1:12" x14ac:dyDescent="0.35">
      <c r="A157">
        <v>1035893</v>
      </c>
      <c r="B157" t="s">
        <v>333</v>
      </c>
      <c r="D157" t="s">
        <v>334</v>
      </c>
      <c r="E157">
        <v>64933</v>
      </c>
      <c r="F157" t="s">
        <v>335</v>
      </c>
      <c r="G157">
        <v>1</v>
      </c>
      <c r="H157">
        <v>1</v>
      </c>
      <c r="I157">
        <v>80.86</v>
      </c>
      <c r="J157">
        <v>0</v>
      </c>
      <c r="K157">
        <v>80.86</v>
      </c>
      <c r="L157">
        <v>0</v>
      </c>
    </row>
    <row r="158" spans="1:12" x14ac:dyDescent="0.35">
      <c r="A158">
        <v>1008968</v>
      </c>
      <c r="B158" t="s">
        <v>336</v>
      </c>
      <c r="D158" t="s">
        <v>337</v>
      </c>
      <c r="E158">
        <v>4691</v>
      </c>
      <c r="F158" t="s">
        <v>338</v>
      </c>
      <c r="G158">
        <v>1</v>
      </c>
      <c r="H158">
        <v>1</v>
      </c>
      <c r="I158">
        <v>51.9</v>
      </c>
      <c r="J158">
        <v>0</v>
      </c>
      <c r="K158">
        <v>51.9</v>
      </c>
      <c r="L158">
        <v>0</v>
      </c>
    </row>
    <row r="159" spans="1:12" x14ac:dyDescent="0.35">
      <c r="A159">
        <v>1031312</v>
      </c>
      <c r="B159" t="s">
        <v>339</v>
      </c>
      <c r="D159" t="s">
        <v>340</v>
      </c>
      <c r="E159">
        <v>60267</v>
      </c>
      <c r="F159" t="s">
        <v>341</v>
      </c>
      <c r="G159">
        <v>1</v>
      </c>
      <c r="H159">
        <v>1</v>
      </c>
      <c r="I159">
        <v>20.9</v>
      </c>
      <c r="J159">
        <v>0</v>
      </c>
      <c r="K159">
        <v>20.9</v>
      </c>
      <c r="L159">
        <v>0</v>
      </c>
    </row>
    <row r="160" spans="1:12" x14ac:dyDescent="0.35">
      <c r="A160">
        <v>1049170</v>
      </c>
      <c r="B160" t="s">
        <v>342</v>
      </c>
      <c r="D160" s="1">
        <v>45876.365069444444</v>
      </c>
      <c r="E160">
        <v>40595</v>
      </c>
      <c r="F160" t="s">
        <v>48</v>
      </c>
      <c r="G160">
        <v>3</v>
      </c>
      <c r="H160">
        <v>3</v>
      </c>
      <c r="I160">
        <v>29.9</v>
      </c>
      <c r="J160">
        <v>0</v>
      </c>
      <c r="K160">
        <v>89.7</v>
      </c>
      <c r="L160">
        <v>0</v>
      </c>
    </row>
    <row r="161" spans="1:12" x14ac:dyDescent="0.35">
      <c r="A161">
        <v>1017077</v>
      </c>
      <c r="B161" t="s">
        <v>343</v>
      </c>
      <c r="D161" t="s">
        <v>344</v>
      </c>
      <c r="E161">
        <v>39326</v>
      </c>
      <c r="F161" t="s">
        <v>345</v>
      </c>
      <c r="G161">
        <v>1.69</v>
      </c>
      <c r="H161">
        <v>1.69</v>
      </c>
      <c r="I161">
        <v>79.900000000000006</v>
      </c>
      <c r="J161">
        <v>0</v>
      </c>
      <c r="K161">
        <v>135.03100000000001</v>
      </c>
      <c r="L161">
        <v>0</v>
      </c>
    </row>
    <row r="162" spans="1:12" x14ac:dyDescent="0.35">
      <c r="A162">
        <v>1027483</v>
      </c>
      <c r="B162" t="s">
        <v>346</v>
      </c>
      <c r="D162" t="s">
        <v>347</v>
      </c>
      <c r="E162">
        <v>732</v>
      </c>
      <c r="F162" t="s">
        <v>348</v>
      </c>
      <c r="G162">
        <v>1</v>
      </c>
      <c r="H162">
        <v>1</v>
      </c>
      <c r="I162">
        <v>8.9</v>
      </c>
      <c r="J162">
        <v>0</v>
      </c>
      <c r="K162">
        <v>8.9</v>
      </c>
      <c r="L162">
        <v>0</v>
      </c>
    </row>
    <row r="163" spans="1:12" x14ac:dyDescent="0.35">
      <c r="A163">
        <v>1049788</v>
      </c>
      <c r="B163" t="s">
        <v>349</v>
      </c>
      <c r="D163" t="s">
        <v>350</v>
      </c>
      <c r="E163">
        <v>59942</v>
      </c>
      <c r="F163" t="s">
        <v>351</v>
      </c>
      <c r="G163">
        <v>16.079999999999998</v>
      </c>
      <c r="H163">
        <v>16.079999999999998</v>
      </c>
      <c r="I163">
        <v>45.9</v>
      </c>
      <c r="J163">
        <v>0</v>
      </c>
      <c r="K163">
        <v>738.072</v>
      </c>
      <c r="L163">
        <v>0</v>
      </c>
    </row>
    <row r="164" spans="1:12" x14ac:dyDescent="0.35">
      <c r="A164">
        <v>1042689</v>
      </c>
      <c r="B164" t="s">
        <v>352</v>
      </c>
      <c r="D164" t="s">
        <v>353</v>
      </c>
      <c r="E164">
        <v>7936</v>
      </c>
      <c r="F164" t="s">
        <v>354</v>
      </c>
      <c r="G164">
        <v>5</v>
      </c>
      <c r="H164">
        <v>5</v>
      </c>
      <c r="I164">
        <v>26.9</v>
      </c>
      <c r="J164">
        <v>0</v>
      </c>
      <c r="K164">
        <v>134.5</v>
      </c>
      <c r="L164">
        <v>0</v>
      </c>
    </row>
    <row r="165" spans="1:12" x14ac:dyDescent="0.35">
      <c r="A165">
        <v>1033717</v>
      </c>
      <c r="B165" t="s">
        <v>309</v>
      </c>
      <c r="D165" t="s">
        <v>355</v>
      </c>
      <c r="E165">
        <v>54</v>
      </c>
      <c r="F165" t="s">
        <v>51</v>
      </c>
      <c r="G165">
        <v>1</v>
      </c>
      <c r="H165">
        <v>1</v>
      </c>
      <c r="I165">
        <v>105.9</v>
      </c>
      <c r="J165">
        <v>0</v>
      </c>
      <c r="K165">
        <v>105.9</v>
      </c>
      <c r="L165">
        <v>0</v>
      </c>
    </row>
    <row r="166" spans="1:12" x14ac:dyDescent="0.35">
      <c r="A166">
        <v>1033717</v>
      </c>
      <c r="B166" t="s">
        <v>309</v>
      </c>
      <c r="D166" t="s">
        <v>355</v>
      </c>
      <c r="E166">
        <v>239</v>
      </c>
      <c r="F166" t="s">
        <v>268</v>
      </c>
      <c r="G166">
        <v>1</v>
      </c>
      <c r="H166">
        <v>1</v>
      </c>
      <c r="I166">
        <v>26.9</v>
      </c>
      <c r="J166">
        <v>0</v>
      </c>
      <c r="K166">
        <v>26.9</v>
      </c>
      <c r="L166">
        <v>0</v>
      </c>
    </row>
    <row r="167" spans="1:12" x14ac:dyDescent="0.35">
      <c r="A167">
        <v>1049792</v>
      </c>
      <c r="B167" t="s">
        <v>356</v>
      </c>
      <c r="D167" t="s">
        <v>357</v>
      </c>
      <c r="E167">
        <v>40894</v>
      </c>
      <c r="F167" t="s">
        <v>111</v>
      </c>
      <c r="G167">
        <v>7</v>
      </c>
      <c r="H167">
        <v>7</v>
      </c>
      <c r="I167">
        <v>65.900000000000006</v>
      </c>
      <c r="J167">
        <v>0</v>
      </c>
      <c r="K167">
        <v>461.3</v>
      </c>
      <c r="L167">
        <v>0</v>
      </c>
    </row>
    <row r="168" spans="1:12" x14ac:dyDescent="0.35">
      <c r="A168">
        <v>1049792</v>
      </c>
      <c r="B168" t="s">
        <v>356</v>
      </c>
      <c r="D168" t="s">
        <v>357</v>
      </c>
      <c r="E168">
        <v>41</v>
      </c>
      <c r="F168" t="s">
        <v>33</v>
      </c>
      <c r="G168">
        <v>6</v>
      </c>
      <c r="H168">
        <v>6</v>
      </c>
      <c r="I168">
        <v>43.9</v>
      </c>
      <c r="J168">
        <v>0</v>
      </c>
      <c r="K168">
        <v>263.39999999999998</v>
      </c>
      <c r="L168">
        <v>0</v>
      </c>
    </row>
    <row r="169" spans="1:12" x14ac:dyDescent="0.35">
      <c r="A169">
        <v>1049792</v>
      </c>
      <c r="B169" t="s">
        <v>356</v>
      </c>
      <c r="D169" t="s">
        <v>357</v>
      </c>
      <c r="E169">
        <v>59934</v>
      </c>
      <c r="F169" t="s">
        <v>358</v>
      </c>
      <c r="G169">
        <v>5.36</v>
      </c>
      <c r="H169">
        <v>5.36</v>
      </c>
      <c r="I169">
        <v>45.9</v>
      </c>
      <c r="J169">
        <v>0</v>
      </c>
      <c r="K169">
        <v>246.024</v>
      </c>
      <c r="L169">
        <v>0</v>
      </c>
    </row>
    <row r="170" spans="1:12" x14ac:dyDescent="0.35">
      <c r="A170">
        <v>1049792</v>
      </c>
      <c r="B170" t="s">
        <v>356</v>
      </c>
      <c r="D170" t="s">
        <v>357</v>
      </c>
      <c r="E170">
        <v>42629</v>
      </c>
      <c r="F170" t="s">
        <v>359</v>
      </c>
      <c r="G170">
        <v>16.260000000000002</v>
      </c>
      <c r="H170">
        <v>16.260000000000002</v>
      </c>
      <c r="I170">
        <v>51.9</v>
      </c>
      <c r="J170">
        <v>0</v>
      </c>
      <c r="K170">
        <v>843.89400000000001</v>
      </c>
      <c r="L170">
        <v>0</v>
      </c>
    </row>
    <row r="171" spans="1:12" x14ac:dyDescent="0.35">
      <c r="A171">
        <v>1049792</v>
      </c>
      <c r="B171" t="s">
        <v>356</v>
      </c>
      <c r="D171" t="s">
        <v>357</v>
      </c>
      <c r="E171">
        <v>4694</v>
      </c>
      <c r="F171" t="s">
        <v>69</v>
      </c>
      <c r="G171">
        <v>5</v>
      </c>
      <c r="H171">
        <v>5</v>
      </c>
      <c r="I171">
        <v>26.9</v>
      </c>
      <c r="J171">
        <v>0</v>
      </c>
      <c r="K171">
        <v>134.5</v>
      </c>
      <c r="L171">
        <v>0</v>
      </c>
    </row>
    <row r="172" spans="1:12" x14ac:dyDescent="0.35">
      <c r="A172">
        <v>1049792</v>
      </c>
      <c r="B172" t="s">
        <v>356</v>
      </c>
      <c r="D172" t="s">
        <v>357</v>
      </c>
      <c r="E172">
        <v>30841</v>
      </c>
      <c r="F172" t="s">
        <v>360</v>
      </c>
      <c r="G172">
        <v>17.010000000000002</v>
      </c>
      <c r="H172">
        <v>17.010000000000002</v>
      </c>
      <c r="I172">
        <v>44.9</v>
      </c>
      <c r="J172">
        <v>0</v>
      </c>
      <c r="K172">
        <v>763.74900000000002</v>
      </c>
      <c r="L172">
        <v>0</v>
      </c>
    </row>
    <row r="173" spans="1:12" x14ac:dyDescent="0.35">
      <c r="A173">
        <v>1049788</v>
      </c>
      <c r="B173" t="s">
        <v>349</v>
      </c>
      <c r="D173" t="s">
        <v>361</v>
      </c>
      <c r="E173">
        <v>41</v>
      </c>
      <c r="F173" t="s">
        <v>33</v>
      </c>
      <c r="G173">
        <v>7</v>
      </c>
      <c r="H173">
        <v>7</v>
      </c>
      <c r="I173">
        <v>43.9</v>
      </c>
      <c r="J173">
        <v>0</v>
      </c>
      <c r="K173">
        <v>307.3</v>
      </c>
      <c r="L173">
        <v>0</v>
      </c>
    </row>
    <row r="174" spans="1:12" x14ac:dyDescent="0.35">
      <c r="A174">
        <v>1026332</v>
      </c>
      <c r="B174" t="s">
        <v>362</v>
      </c>
      <c r="D174" t="s">
        <v>363</v>
      </c>
      <c r="E174">
        <v>31708</v>
      </c>
      <c r="F174" t="s">
        <v>276</v>
      </c>
      <c r="G174">
        <v>2</v>
      </c>
      <c r="H174">
        <v>2</v>
      </c>
      <c r="I174">
        <v>83.9</v>
      </c>
      <c r="J174">
        <v>0</v>
      </c>
      <c r="K174">
        <v>167.8</v>
      </c>
      <c r="L174">
        <v>0</v>
      </c>
    </row>
    <row r="175" spans="1:12" x14ac:dyDescent="0.35">
      <c r="A175">
        <v>1042515</v>
      </c>
      <c r="B175" t="s">
        <v>364</v>
      </c>
      <c r="D175" t="s">
        <v>365</v>
      </c>
      <c r="E175">
        <v>40595</v>
      </c>
      <c r="F175" t="s">
        <v>48</v>
      </c>
      <c r="G175">
        <v>1</v>
      </c>
      <c r="H175">
        <v>1</v>
      </c>
      <c r="I175">
        <v>29.9</v>
      </c>
      <c r="J175">
        <v>0</v>
      </c>
      <c r="K175">
        <v>29.9</v>
      </c>
      <c r="L175">
        <v>0</v>
      </c>
    </row>
    <row r="176" spans="1:12" x14ac:dyDescent="0.35">
      <c r="A176">
        <v>1034615</v>
      </c>
      <c r="B176" t="s">
        <v>366</v>
      </c>
      <c r="D176" t="s">
        <v>367</v>
      </c>
      <c r="E176">
        <v>1621</v>
      </c>
      <c r="F176" t="s">
        <v>36</v>
      </c>
      <c r="G176">
        <v>1</v>
      </c>
      <c r="H176">
        <v>1</v>
      </c>
      <c r="I176">
        <v>26.9</v>
      </c>
      <c r="J176">
        <v>0</v>
      </c>
      <c r="K176">
        <v>26.9</v>
      </c>
      <c r="L176">
        <v>0</v>
      </c>
    </row>
    <row r="177" spans="1:12" x14ac:dyDescent="0.35">
      <c r="A177">
        <v>1027049</v>
      </c>
      <c r="B177" t="s">
        <v>368</v>
      </c>
      <c r="D177" s="1">
        <v>45889.583333333336</v>
      </c>
      <c r="E177">
        <v>40595</v>
      </c>
      <c r="F177" t="s">
        <v>48</v>
      </c>
      <c r="G177">
        <v>3</v>
      </c>
      <c r="H177">
        <v>3</v>
      </c>
      <c r="I177">
        <v>29.9</v>
      </c>
      <c r="J177">
        <v>0</v>
      </c>
      <c r="K177">
        <v>89.7</v>
      </c>
      <c r="L177">
        <v>0</v>
      </c>
    </row>
    <row r="178" spans="1:12" x14ac:dyDescent="0.35">
      <c r="A178">
        <v>1049727</v>
      </c>
      <c r="B178" t="s">
        <v>369</v>
      </c>
      <c r="D178" s="1">
        <v>45890.417870370373</v>
      </c>
      <c r="E178">
        <v>40595</v>
      </c>
      <c r="F178" t="s">
        <v>48</v>
      </c>
      <c r="G178">
        <v>4</v>
      </c>
      <c r="H178">
        <v>4</v>
      </c>
      <c r="I178">
        <v>29.9</v>
      </c>
      <c r="J178">
        <v>0</v>
      </c>
      <c r="K178">
        <v>119.6</v>
      </c>
      <c r="L178">
        <v>0</v>
      </c>
    </row>
    <row r="179" spans="1:12" x14ac:dyDescent="0.35">
      <c r="A179">
        <v>1049904</v>
      </c>
      <c r="B179" t="s">
        <v>370</v>
      </c>
      <c r="D179" s="1">
        <v>45891.333333333336</v>
      </c>
      <c r="E179">
        <v>59914</v>
      </c>
      <c r="F179" t="s">
        <v>371</v>
      </c>
      <c r="G179">
        <v>26.52</v>
      </c>
      <c r="H179">
        <v>26.52</v>
      </c>
      <c r="I179">
        <v>43.9</v>
      </c>
      <c r="J179">
        <v>0</v>
      </c>
      <c r="K179">
        <v>1164.2280000000001</v>
      </c>
      <c r="L179">
        <v>0</v>
      </c>
    </row>
    <row r="180" spans="1:12" x14ac:dyDescent="0.35">
      <c r="A180">
        <v>1048861</v>
      </c>
      <c r="B180" t="s">
        <v>372</v>
      </c>
      <c r="D180" t="s">
        <v>373</v>
      </c>
      <c r="E180">
        <v>40595</v>
      </c>
      <c r="F180" t="s">
        <v>48</v>
      </c>
      <c r="G180">
        <v>7</v>
      </c>
      <c r="H180">
        <v>7</v>
      </c>
      <c r="I180">
        <v>29.9</v>
      </c>
      <c r="J180">
        <v>0</v>
      </c>
      <c r="K180">
        <v>209.3</v>
      </c>
      <c r="L180">
        <v>0</v>
      </c>
    </row>
    <row r="181" spans="1:12" x14ac:dyDescent="0.35">
      <c r="A181">
        <v>1048861</v>
      </c>
      <c r="B181" t="s">
        <v>372</v>
      </c>
      <c r="D181" t="s">
        <v>373</v>
      </c>
      <c r="E181">
        <v>38</v>
      </c>
      <c r="F181" t="s">
        <v>188</v>
      </c>
      <c r="G181">
        <v>2</v>
      </c>
      <c r="H181">
        <v>2</v>
      </c>
      <c r="I181">
        <v>18.899999999999999</v>
      </c>
      <c r="J181">
        <v>0</v>
      </c>
      <c r="K181">
        <v>37.799999999999997</v>
      </c>
      <c r="L181">
        <v>0</v>
      </c>
    </row>
    <row r="182" spans="1:12" x14ac:dyDescent="0.35">
      <c r="A182">
        <v>1036404</v>
      </c>
      <c r="B182" t="s">
        <v>374</v>
      </c>
      <c r="D182" s="1">
        <v>45892.708587962959</v>
      </c>
      <c r="E182">
        <v>13984</v>
      </c>
      <c r="F182" t="s">
        <v>17</v>
      </c>
      <c r="G182">
        <v>6</v>
      </c>
      <c r="H182">
        <v>6</v>
      </c>
      <c r="I182">
        <v>109.9</v>
      </c>
      <c r="J182">
        <v>0</v>
      </c>
      <c r="K182">
        <v>659.4</v>
      </c>
      <c r="L182">
        <v>0</v>
      </c>
    </row>
    <row r="183" spans="1:12" x14ac:dyDescent="0.35">
      <c r="A183">
        <v>1036404</v>
      </c>
      <c r="B183" t="s">
        <v>374</v>
      </c>
      <c r="D183" s="1">
        <v>45892.708587962959</v>
      </c>
      <c r="E183">
        <v>58003</v>
      </c>
      <c r="F183" t="s">
        <v>375</v>
      </c>
      <c r="G183">
        <v>2</v>
      </c>
      <c r="H183">
        <v>2</v>
      </c>
      <c r="I183">
        <v>501.17</v>
      </c>
      <c r="J183">
        <v>0</v>
      </c>
      <c r="K183">
        <v>1002.34</v>
      </c>
      <c r="L183">
        <v>0</v>
      </c>
    </row>
    <row r="184" spans="1:12" x14ac:dyDescent="0.35">
      <c r="A184">
        <v>1036404</v>
      </c>
      <c r="B184" t="s">
        <v>374</v>
      </c>
      <c r="D184" s="1">
        <v>45892.708587962959</v>
      </c>
      <c r="E184">
        <v>65033</v>
      </c>
      <c r="F184" t="s">
        <v>376</v>
      </c>
      <c r="G184">
        <v>2</v>
      </c>
      <c r="H184">
        <v>2</v>
      </c>
      <c r="I184">
        <v>548.97</v>
      </c>
      <c r="J184">
        <v>0</v>
      </c>
      <c r="K184">
        <v>1097.94</v>
      </c>
      <c r="L184">
        <v>0</v>
      </c>
    </row>
    <row r="185" spans="1:12" x14ac:dyDescent="0.35">
      <c r="A185">
        <v>1169</v>
      </c>
      <c r="B185" t="s">
        <v>377</v>
      </c>
      <c r="D185" s="1">
        <v>45894.344386574077</v>
      </c>
      <c r="E185">
        <v>41</v>
      </c>
      <c r="F185" t="s">
        <v>33</v>
      </c>
      <c r="G185">
        <v>10</v>
      </c>
      <c r="H185">
        <v>10</v>
      </c>
      <c r="I185">
        <v>43.9</v>
      </c>
      <c r="J185">
        <v>0</v>
      </c>
      <c r="K185">
        <v>439</v>
      </c>
      <c r="L185">
        <v>0</v>
      </c>
    </row>
    <row r="186" spans="1:12" x14ac:dyDescent="0.35">
      <c r="A186">
        <v>1169</v>
      </c>
      <c r="B186" t="s">
        <v>377</v>
      </c>
      <c r="D186" s="1">
        <v>45894.344386574077</v>
      </c>
      <c r="E186">
        <v>7480</v>
      </c>
      <c r="F186" t="s">
        <v>378</v>
      </c>
      <c r="G186">
        <v>15</v>
      </c>
      <c r="H186">
        <v>15</v>
      </c>
      <c r="I186">
        <v>45.9</v>
      </c>
      <c r="J186">
        <v>0</v>
      </c>
      <c r="K186">
        <v>688.5</v>
      </c>
      <c r="L186">
        <v>0</v>
      </c>
    </row>
    <row r="187" spans="1:12" x14ac:dyDescent="0.35">
      <c r="A187">
        <v>1169</v>
      </c>
      <c r="B187" t="s">
        <v>377</v>
      </c>
      <c r="D187" s="1">
        <v>45894.344386574077</v>
      </c>
      <c r="E187">
        <v>1510</v>
      </c>
      <c r="F187" t="s">
        <v>379</v>
      </c>
      <c r="G187">
        <v>5</v>
      </c>
      <c r="H187">
        <v>5</v>
      </c>
      <c r="I187">
        <v>18.899999999999999</v>
      </c>
      <c r="J187">
        <v>0</v>
      </c>
      <c r="K187">
        <v>94.5</v>
      </c>
      <c r="L187">
        <v>0</v>
      </c>
    </row>
    <row r="188" spans="1:12" x14ac:dyDescent="0.35">
      <c r="A188">
        <v>1050128</v>
      </c>
      <c r="B188" t="s">
        <v>380</v>
      </c>
      <c r="D188" s="1">
        <v>45894.361331018517</v>
      </c>
      <c r="E188">
        <v>40595</v>
      </c>
      <c r="F188" t="s">
        <v>48</v>
      </c>
      <c r="G188">
        <v>5</v>
      </c>
      <c r="H188">
        <v>5</v>
      </c>
      <c r="I188">
        <v>29.9</v>
      </c>
      <c r="J188">
        <v>0</v>
      </c>
      <c r="K188">
        <v>149.5</v>
      </c>
      <c r="L188">
        <v>0</v>
      </c>
    </row>
    <row r="189" spans="1:12" x14ac:dyDescent="0.35">
      <c r="A189">
        <v>1050128</v>
      </c>
      <c r="B189" t="s">
        <v>380</v>
      </c>
      <c r="D189" s="1">
        <v>45894.361331018517</v>
      </c>
      <c r="E189">
        <v>23720</v>
      </c>
      <c r="F189" t="s">
        <v>381</v>
      </c>
      <c r="G189">
        <v>5.24</v>
      </c>
      <c r="H189">
        <v>5.24</v>
      </c>
      <c r="I189">
        <v>44.9</v>
      </c>
      <c r="J189">
        <v>0</v>
      </c>
      <c r="K189">
        <v>235.27600000000001</v>
      </c>
      <c r="L189">
        <v>0</v>
      </c>
    </row>
    <row r="190" spans="1:12" x14ac:dyDescent="0.35">
      <c r="A190">
        <v>1050128</v>
      </c>
      <c r="B190" t="s">
        <v>380</v>
      </c>
      <c r="D190" s="1">
        <v>45894.361331018517</v>
      </c>
      <c r="E190">
        <v>3872</v>
      </c>
      <c r="F190" t="s">
        <v>382</v>
      </c>
      <c r="G190">
        <v>2</v>
      </c>
      <c r="H190">
        <v>2</v>
      </c>
      <c r="I190">
        <v>17.899999999999999</v>
      </c>
      <c r="J190">
        <v>0</v>
      </c>
      <c r="K190">
        <v>35.799999999999997</v>
      </c>
      <c r="L190">
        <v>0</v>
      </c>
    </row>
    <row r="191" spans="1:12" x14ac:dyDescent="0.35">
      <c r="A191">
        <v>1050128</v>
      </c>
      <c r="B191" t="s">
        <v>380</v>
      </c>
      <c r="D191" s="1">
        <v>45894.361331018517</v>
      </c>
      <c r="E191">
        <v>25017</v>
      </c>
      <c r="F191" t="s">
        <v>383</v>
      </c>
      <c r="G191">
        <v>9.7200000000000006</v>
      </c>
      <c r="H191">
        <v>9.7200000000000006</v>
      </c>
      <c r="I191">
        <v>44.9</v>
      </c>
      <c r="J191">
        <v>0</v>
      </c>
      <c r="K191">
        <v>436.428</v>
      </c>
      <c r="L191">
        <v>0</v>
      </c>
    </row>
    <row r="192" spans="1:12" x14ac:dyDescent="0.35">
      <c r="A192">
        <v>1007238</v>
      </c>
      <c r="B192" t="s">
        <v>384</v>
      </c>
      <c r="D192" t="s">
        <v>385</v>
      </c>
      <c r="E192">
        <v>11089</v>
      </c>
      <c r="F192" t="s">
        <v>386</v>
      </c>
      <c r="G192">
        <v>0.11</v>
      </c>
      <c r="H192">
        <v>0.11</v>
      </c>
      <c r="I192">
        <v>193.9</v>
      </c>
      <c r="J192">
        <v>0</v>
      </c>
      <c r="K192">
        <v>21.329000000000001</v>
      </c>
      <c r="L192">
        <v>0</v>
      </c>
    </row>
    <row r="193" spans="1:12" x14ac:dyDescent="0.35">
      <c r="A193">
        <v>1007238</v>
      </c>
      <c r="B193" t="s">
        <v>384</v>
      </c>
      <c r="D193" t="s">
        <v>385</v>
      </c>
      <c r="E193">
        <v>11091</v>
      </c>
      <c r="F193" t="s">
        <v>387</v>
      </c>
      <c r="G193">
        <v>0.09</v>
      </c>
      <c r="H193">
        <v>0.09</v>
      </c>
      <c r="I193">
        <v>225.9</v>
      </c>
      <c r="J193">
        <v>0</v>
      </c>
      <c r="K193">
        <v>20.331</v>
      </c>
      <c r="L193">
        <v>0</v>
      </c>
    </row>
    <row r="194" spans="1:12" x14ac:dyDescent="0.35">
      <c r="A194">
        <v>1</v>
      </c>
      <c r="B194" t="s">
        <v>388</v>
      </c>
      <c r="D194" t="s">
        <v>389</v>
      </c>
      <c r="E194">
        <v>14518</v>
      </c>
      <c r="F194" t="s">
        <v>390</v>
      </c>
      <c r="G194">
        <v>1</v>
      </c>
      <c r="H194">
        <v>1</v>
      </c>
      <c r="I194">
        <v>1699.9</v>
      </c>
      <c r="J194">
        <v>0</v>
      </c>
      <c r="K194">
        <v>1699.9</v>
      </c>
      <c r="L194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7537-0113-4F51-804F-BA39514D00F8}">
  <dimension ref="A3:D12"/>
  <sheetViews>
    <sheetView workbookViewId="0">
      <selection activeCell="D11" sqref="D11"/>
    </sheetView>
  </sheetViews>
  <sheetFormatPr defaultRowHeight="14.5" x14ac:dyDescent="0.35"/>
  <cols>
    <col min="1" max="1" width="17" bestFit="1" customWidth="1"/>
    <col min="2" max="2" width="23.7265625" bestFit="1" customWidth="1"/>
    <col min="3" max="3" width="17.90625" bestFit="1" customWidth="1"/>
    <col min="4" max="4" width="19" bestFit="1" customWidth="1"/>
  </cols>
  <sheetData>
    <row r="3" spans="1:4" x14ac:dyDescent="0.35">
      <c r="A3" s="5" t="s">
        <v>393</v>
      </c>
      <c r="B3" t="s">
        <v>405</v>
      </c>
      <c r="C3" t="s">
        <v>403</v>
      </c>
      <c r="D3" t="s">
        <v>404</v>
      </c>
    </row>
    <row r="4" spans="1:4" x14ac:dyDescent="0.35">
      <c r="A4" s="6" t="s">
        <v>394</v>
      </c>
      <c r="B4" s="8">
        <v>5</v>
      </c>
      <c r="C4" s="7">
        <v>0</v>
      </c>
      <c r="D4" s="9">
        <v>424.3</v>
      </c>
    </row>
    <row r="5" spans="1:4" x14ac:dyDescent="0.35">
      <c r="A5" s="6" t="s">
        <v>395</v>
      </c>
      <c r="B5" s="8">
        <v>12</v>
      </c>
      <c r="C5" s="7">
        <v>0</v>
      </c>
      <c r="D5" s="9">
        <v>2890.7820000000002</v>
      </c>
    </row>
    <row r="6" spans="1:4" x14ac:dyDescent="0.35">
      <c r="A6" s="6" t="s">
        <v>396</v>
      </c>
      <c r="B6" s="8">
        <v>18</v>
      </c>
      <c r="C6" s="7">
        <v>0</v>
      </c>
      <c r="D6" s="9">
        <v>29068.629999999997</v>
      </c>
    </row>
    <row r="7" spans="1:4" x14ac:dyDescent="0.35">
      <c r="A7" s="6" t="s">
        <v>397</v>
      </c>
      <c r="B7" s="8">
        <v>22</v>
      </c>
      <c r="C7" s="7">
        <v>0</v>
      </c>
      <c r="D7" s="9">
        <v>24386.943000000003</v>
      </c>
    </row>
    <row r="8" spans="1:4" x14ac:dyDescent="0.35">
      <c r="A8" s="6" t="s">
        <v>398</v>
      </c>
      <c r="B8" s="8">
        <v>27</v>
      </c>
      <c r="C8" s="7">
        <v>1</v>
      </c>
      <c r="D8" s="9">
        <v>7368.59</v>
      </c>
    </row>
    <row r="9" spans="1:4" x14ac:dyDescent="0.35">
      <c r="A9" s="6" t="s">
        <v>399</v>
      </c>
      <c r="B9" s="8">
        <v>34</v>
      </c>
      <c r="C9" s="7">
        <v>2</v>
      </c>
      <c r="D9" s="9">
        <v>8350.1089999999986</v>
      </c>
    </row>
    <row r="10" spans="1:4" x14ac:dyDescent="0.35">
      <c r="A10" s="6" t="s">
        <v>400</v>
      </c>
      <c r="B10" s="8">
        <v>33</v>
      </c>
      <c r="C10" s="7">
        <v>0</v>
      </c>
      <c r="D10" s="9">
        <v>19144.250999999997</v>
      </c>
    </row>
    <row r="11" spans="1:4" x14ac:dyDescent="0.35">
      <c r="A11" s="6" t="s">
        <v>401</v>
      </c>
      <c r="B11" s="8">
        <v>42</v>
      </c>
      <c r="C11" s="7">
        <v>0</v>
      </c>
      <c r="D11" s="9">
        <v>13502.052</v>
      </c>
    </row>
    <row r="12" spans="1:4" x14ac:dyDescent="0.35">
      <c r="A12" s="6" t="s">
        <v>402</v>
      </c>
      <c r="B12" s="8">
        <v>193</v>
      </c>
      <c r="C12" s="7">
        <v>3</v>
      </c>
      <c r="D12" s="9">
        <v>105135.65699999996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5BD6-0572-4AD0-8B90-3B4A0FDA127F}">
  <sheetPr filterMode="1"/>
  <dimension ref="A1:M194"/>
  <sheetViews>
    <sheetView tabSelected="1" topLeftCell="B1" workbookViewId="0">
      <selection activeCell="E134" sqref="E134"/>
    </sheetView>
  </sheetViews>
  <sheetFormatPr defaultRowHeight="14.5" x14ac:dyDescent="0.35"/>
  <cols>
    <col min="1" max="1" width="7.81640625" bestFit="1" customWidth="1"/>
    <col min="2" max="2" width="39.90625" bestFit="1" customWidth="1"/>
    <col min="3" max="3" width="21.36328125" bestFit="1" customWidth="1"/>
    <col min="5" max="5" width="58.453125" bestFit="1" customWidth="1"/>
    <col min="7" max="7" width="28.90625" bestFit="1" customWidth="1"/>
    <col min="8" max="8" width="24.36328125" bestFit="1" customWidth="1"/>
    <col min="9" max="9" width="13" customWidth="1"/>
    <col min="11" max="11" width="9.453125" bestFit="1" customWidth="1"/>
    <col min="12" max="12" width="21.36328125" style="3" bestFit="1" customWidth="1"/>
    <col min="13" max="13" width="8.7265625" style="4"/>
  </cols>
  <sheetData>
    <row r="1" spans="1:13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s="3" t="s">
        <v>391</v>
      </c>
      <c r="M1" s="4" t="s">
        <v>392</v>
      </c>
    </row>
    <row r="2" spans="1:13" hidden="1" x14ac:dyDescent="0.35">
      <c r="A2">
        <v>18816</v>
      </c>
      <c r="B2" t="s">
        <v>12</v>
      </c>
      <c r="C2" t="s">
        <v>13</v>
      </c>
      <c r="D2">
        <v>901</v>
      </c>
      <c r="E2" t="s">
        <v>14</v>
      </c>
      <c r="F2">
        <v>1</v>
      </c>
      <c r="G2">
        <v>1</v>
      </c>
      <c r="H2">
        <v>59.9</v>
      </c>
      <c r="I2">
        <v>0</v>
      </c>
      <c r="J2">
        <v>59.9</v>
      </c>
      <c r="K2">
        <v>0</v>
      </c>
      <c r="L2" s="3">
        <v>45660</v>
      </c>
      <c r="M2" s="2" t="str">
        <f>TEXT(L2,"mm")&amp;"/"&amp;YEAR(L2)</f>
        <v>01/2025</v>
      </c>
    </row>
    <row r="3" spans="1:13" hidden="1" x14ac:dyDescent="0.35">
      <c r="A3">
        <v>1031058</v>
      </c>
      <c r="B3" t="s">
        <v>15</v>
      </c>
      <c r="C3" t="s">
        <v>16</v>
      </c>
      <c r="D3">
        <v>13984</v>
      </c>
      <c r="E3" t="s">
        <v>17</v>
      </c>
      <c r="F3">
        <v>1</v>
      </c>
      <c r="G3">
        <v>1</v>
      </c>
      <c r="H3">
        <v>109.9</v>
      </c>
      <c r="I3">
        <v>0</v>
      </c>
      <c r="J3">
        <v>109.9</v>
      </c>
      <c r="K3">
        <v>0</v>
      </c>
      <c r="L3" s="3">
        <v>45664</v>
      </c>
      <c r="M3" s="2" t="str">
        <f t="shared" ref="M3:M66" si="0">TEXT(L3,"mm")&amp;"/"&amp;YEAR(L3)</f>
        <v>01/2025</v>
      </c>
    </row>
    <row r="4" spans="1:13" hidden="1" x14ac:dyDescent="0.35">
      <c r="A4">
        <v>1000849</v>
      </c>
      <c r="B4" t="s">
        <v>18</v>
      </c>
      <c r="C4" t="s">
        <v>19</v>
      </c>
      <c r="D4">
        <v>77</v>
      </c>
      <c r="E4" t="s">
        <v>20</v>
      </c>
      <c r="F4">
        <v>1</v>
      </c>
      <c r="G4">
        <v>1</v>
      </c>
      <c r="H4">
        <v>18.899999999999999</v>
      </c>
      <c r="I4">
        <v>0</v>
      </c>
      <c r="J4">
        <v>18.899999999999999</v>
      </c>
      <c r="K4">
        <v>0</v>
      </c>
      <c r="L4" s="3">
        <v>45665</v>
      </c>
      <c r="M4" s="2" t="str">
        <f t="shared" si="0"/>
        <v>01/2025</v>
      </c>
    </row>
    <row r="5" spans="1:13" hidden="1" x14ac:dyDescent="0.35">
      <c r="A5">
        <v>1038360</v>
      </c>
      <c r="B5" t="s">
        <v>21</v>
      </c>
      <c r="C5" t="s">
        <v>22</v>
      </c>
      <c r="D5">
        <v>4857</v>
      </c>
      <c r="E5" t="s">
        <v>23</v>
      </c>
      <c r="F5">
        <v>1</v>
      </c>
      <c r="G5">
        <v>1</v>
      </c>
      <c r="H5">
        <v>79.900000000000006</v>
      </c>
      <c r="I5">
        <v>0</v>
      </c>
      <c r="J5">
        <v>79.900000000000006</v>
      </c>
      <c r="K5">
        <v>0</v>
      </c>
      <c r="L5" s="3">
        <v>45672</v>
      </c>
      <c r="M5" s="2" t="str">
        <f t="shared" si="0"/>
        <v>01/2025</v>
      </c>
    </row>
    <row r="6" spans="1:13" hidden="1" x14ac:dyDescent="0.35">
      <c r="A6">
        <v>1043874</v>
      </c>
      <c r="B6" t="s">
        <v>24</v>
      </c>
      <c r="C6" t="s">
        <v>25</v>
      </c>
      <c r="D6">
        <v>2851</v>
      </c>
      <c r="E6" t="s">
        <v>26</v>
      </c>
      <c r="F6">
        <v>3</v>
      </c>
      <c r="G6">
        <v>3</v>
      </c>
      <c r="H6">
        <v>51.9</v>
      </c>
      <c r="I6">
        <v>0</v>
      </c>
      <c r="J6">
        <v>155.69999999999999</v>
      </c>
      <c r="K6">
        <v>0</v>
      </c>
      <c r="L6" s="3">
        <v>45672</v>
      </c>
      <c r="M6" s="2" t="str">
        <f t="shared" si="0"/>
        <v>01/2025</v>
      </c>
    </row>
    <row r="7" spans="1:13" hidden="1" x14ac:dyDescent="0.35">
      <c r="A7">
        <v>1044900</v>
      </c>
      <c r="B7" t="s">
        <v>27</v>
      </c>
      <c r="C7" t="s">
        <v>28</v>
      </c>
      <c r="D7">
        <v>2682</v>
      </c>
      <c r="E7" t="s">
        <v>29</v>
      </c>
      <c r="F7">
        <v>2</v>
      </c>
      <c r="G7">
        <v>2</v>
      </c>
      <c r="H7">
        <v>82.9</v>
      </c>
      <c r="I7">
        <v>0</v>
      </c>
      <c r="J7">
        <v>165.8</v>
      </c>
      <c r="K7">
        <v>0</v>
      </c>
      <c r="L7" s="3">
        <v>45693</v>
      </c>
      <c r="M7" s="2" t="str">
        <f t="shared" si="0"/>
        <v>02/2025</v>
      </c>
    </row>
    <row r="8" spans="1:13" hidden="1" x14ac:dyDescent="0.35">
      <c r="A8">
        <v>1044900</v>
      </c>
      <c r="B8" t="s">
        <v>27</v>
      </c>
      <c r="C8" t="s">
        <v>28</v>
      </c>
      <c r="D8">
        <v>3875</v>
      </c>
      <c r="E8" t="s">
        <v>30</v>
      </c>
      <c r="F8">
        <v>1</v>
      </c>
      <c r="G8">
        <v>1</v>
      </c>
      <c r="H8">
        <v>26.9</v>
      </c>
      <c r="I8">
        <v>0</v>
      </c>
      <c r="J8">
        <v>26.9</v>
      </c>
      <c r="K8">
        <v>0</v>
      </c>
      <c r="L8" s="3">
        <v>45693</v>
      </c>
      <c r="M8" s="2" t="str">
        <f t="shared" si="0"/>
        <v>02/2025</v>
      </c>
    </row>
    <row r="9" spans="1:13" hidden="1" x14ac:dyDescent="0.35">
      <c r="A9">
        <v>1007141</v>
      </c>
      <c r="B9" t="s">
        <v>31</v>
      </c>
      <c r="C9" t="s">
        <v>32</v>
      </c>
      <c r="D9">
        <v>41</v>
      </c>
      <c r="E9" t="s">
        <v>33</v>
      </c>
      <c r="F9">
        <v>3</v>
      </c>
      <c r="G9">
        <v>3</v>
      </c>
      <c r="H9">
        <v>43.9</v>
      </c>
      <c r="I9">
        <v>0</v>
      </c>
      <c r="J9">
        <v>131.69999999999999</v>
      </c>
      <c r="K9">
        <v>0</v>
      </c>
      <c r="L9" s="3">
        <v>45700</v>
      </c>
      <c r="M9" s="2" t="str">
        <f t="shared" si="0"/>
        <v>02/2025</v>
      </c>
    </row>
    <row r="10" spans="1:13" hidden="1" x14ac:dyDescent="0.35">
      <c r="A10">
        <v>1004510</v>
      </c>
      <c r="B10" t="s">
        <v>34</v>
      </c>
      <c r="C10" t="s">
        <v>35</v>
      </c>
      <c r="D10">
        <v>41</v>
      </c>
      <c r="E10" t="s">
        <v>33</v>
      </c>
      <c r="F10">
        <v>1</v>
      </c>
      <c r="G10">
        <v>1</v>
      </c>
      <c r="H10">
        <v>43.9</v>
      </c>
      <c r="I10">
        <v>0</v>
      </c>
      <c r="J10">
        <v>43.9</v>
      </c>
      <c r="K10">
        <v>0</v>
      </c>
      <c r="L10" s="3">
        <v>45700</v>
      </c>
      <c r="M10" s="2" t="str">
        <f t="shared" si="0"/>
        <v>02/2025</v>
      </c>
    </row>
    <row r="11" spans="1:13" hidden="1" x14ac:dyDescent="0.35">
      <c r="A11">
        <v>1004510</v>
      </c>
      <c r="B11" t="s">
        <v>34</v>
      </c>
      <c r="C11" t="s">
        <v>35</v>
      </c>
      <c r="D11">
        <v>1621</v>
      </c>
      <c r="E11" t="s">
        <v>36</v>
      </c>
      <c r="F11">
        <v>2</v>
      </c>
      <c r="G11">
        <v>2</v>
      </c>
      <c r="H11">
        <v>26.9</v>
      </c>
      <c r="I11">
        <v>0</v>
      </c>
      <c r="J11">
        <v>53.8</v>
      </c>
      <c r="K11">
        <v>0</v>
      </c>
      <c r="L11" s="3">
        <v>45700</v>
      </c>
      <c r="M11" s="2" t="str">
        <f t="shared" si="0"/>
        <v>02/2025</v>
      </c>
    </row>
    <row r="12" spans="1:13" hidden="1" x14ac:dyDescent="0.35">
      <c r="A12">
        <v>1006379</v>
      </c>
      <c r="B12" t="s">
        <v>37</v>
      </c>
      <c r="C12" t="s">
        <v>38</v>
      </c>
      <c r="D12">
        <v>50250</v>
      </c>
      <c r="E12" t="s">
        <v>39</v>
      </c>
      <c r="F12">
        <v>2.88</v>
      </c>
      <c r="G12">
        <v>2.88</v>
      </c>
      <c r="H12">
        <v>144.9</v>
      </c>
      <c r="I12">
        <v>0</v>
      </c>
      <c r="J12">
        <v>417.31200000000001</v>
      </c>
      <c r="K12">
        <v>0</v>
      </c>
      <c r="L12" s="3">
        <v>45706</v>
      </c>
      <c r="M12" s="2" t="str">
        <f t="shared" si="0"/>
        <v>02/2025</v>
      </c>
    </row>
    <row r="13" spans="1:13" hidden="1" x14ac:dyDescent="0.35">
      <c r="A13">
        <v>1045242</v>
      </c>
      <c r="B13" t="s">
        <v>40</v>
      </c>
      <c r="C13" t="s">
        <v>41</v>
      </c>
      <c r="D13">
        <v>60121</v>
      </c>
      <c r="E13" t="s">
        <v>42</v>
      </c>
      <c r="F13">
        <v>1</v>
      </c>
      <c r="G13">
        <v>1</v>
      </c>
      <c r="H13">
        <v>227.31</v>
      </c>
      <c r="I13">
        <v>0</v>
      </c>
      <c r="J13">
        <v>227.31</v>
      </c>
      <c r="K13">
        <v>0</v>
      </c>
      <c r="L13" s="3">
        <v>45707</v>
      </c>
      <c r="M13" s="2" t="str">
        <f t="shared" si="0"/>
        <v>02/2025</v>
      </c>
    </row>
    <row r="14" spans="1:13" hidden="1" x14ac:dyDescent="0.35">
      <c r="A14">
        <v>1045242</v>
      </c>
      <c r="B14" t="s">
        <v>40</v>
      </c>
      <c r="C14" t="s">
        <v>41</v>
      </c>
      <c r="D14">
        <v>19947</v>
      </c>
      <c r="E14" t="s">
        <v>43</v>
      </c>
      <c r="F14">
        <v>1</v>
      </c>
      <c r="G14">
        <v>1</v>
      </c>
      <c r="H14">
        <v>912.81</v>
      </c>
      <c r="I14">
        <v>0</v>
      </c>
      <c r="J14">
        <v>912.81</v>
      </c>
      <c r="K14">
        <v>0</v>
      </c>
      <c r="L14" s="3">
        <v>45707</v>
      </c>
      <c r="M14" s="2" t="str">
        <f t="shared" si="0"/>
        <v>02/2025</v>
      </c>
    </row>
    <row r="15" spans="1:13" hidden="1" x14ac:dyDescent="0.35">
      <c r="A15">
        <v>1038122</v>
      </c>
      <c r="B15" t="s">
        <v>44</v>
      </c>
      <c r="C15" s="1">
        <v>45707.583333333336</v>
      </c>
      <c r="D15">
        <v>37</v>
      </c>
      <c r="E15" t="s">
        <v>45</v>
      </c>
      <c r="F15">
        <v>2</v>
      </c>
      <c r="G15">
        <v>2</v>
      </c>
      <c r="H15">
        <v>18.899999999999999</v>
      </c>
      <c r="I15">
        <v>0</v>
      </c>
      <c r="J15">
        <v>37.799999999999997</v>
      </c>
      <c r="K15">
        <v>0</v>
      </c>
      <c r="L15" s="3">
        <v>45707</v>
      </c>
      <c r="M15" s="2" t="str">
        <f t="shared" si="0"/>
        <v>02/2025</v>
      </c>
    </row>
    <row r="16" spans="1:13" hidden="1" x14ac:dyDescent="0.35">
      <c r="A16">
        <v>1005877</v>
      </c>
      <c r="B16" t="s">
        <v>46</v>
      </c>
      <c r="C16" t="s">
        <v>47</v>
      </c>
      <c r="D16">
        <v>40595</v>
      </c>
      <c r="E16" t="s">
        <v>48</v>
      </c>
      <c r="F16">
        <v>1</v>
      </c>
      <c r="G16">
        <v>1</v>
      </c>
      <c r="H16">
        <v>29.9</v>
      </c>
      <c r="I16">
        <v>0</v>
      </c>
      <c r="J16">
        <v>29.9</v>
      </c>
      <c r="K16">
        <v>0</v>
      </c>
      <c r="L16" s="3">
        <v>45709</v>
      </c>
      <c r="M16" s="2" t="str">
        <f t="shared" si="0"/>
        <v>02/2025</v>
      </c>
    </row>
    <row r="17" spans="1:13" hidden="1" x14ac:dyDescent="0.35">
      <c r="A17">
        <v>6824</v>
      </c>
      <c r="B17" t="s">
        <v>49</v>
      </c>
      <c r="C17" t="s">
        <v>50</v>
      </c>
      <c r="D17">
        <v>54</v>
      </c>
      <c r="E17" t="s">
        <v>51</v>
      </c>
      <c r="F17">
        <v>7</v>
      </c>
      <c r="G17">
        <v>7</v>
      </c>
      <c r="H17">
        <v>105.9</v>
      </c>
      <c r="I17">
        <v>0</v>
      </c>
      <c r="J17">
        <v>741.3</v>
      </c>
      <c r="K17">
        <v>0</v>
      </c>
      <c r="L17" s="3">
        <v>45713</v>
      </c>
      <c r="M17" s="2" t="str">
        <f t="shared" si="0"/>
        <v>02/2025</v>
      </c>
    </row>
    <row r="18" spans="1:13" hidden="1" x14ac:dyDescent="0.35">
      <c r="A18">
        <v>1043709</v>
      </c>
      <c r="B18" t="s">
        <v>52</v>
      </c>
      <c r="C18" t="s">
        <v>53</v>
      </c>
      <c r="D18">
        <v>54633</v>
      </c>
      <c r="E18" t="s">
        <v>54</v>
      </c>
      <c r="F18">
        <v>2.5</v>
      </c>
      <c r="G18">
        <v>2.5</v>
      </c>
      <c r="H18">
        <v>40.9</v>
      </c>
      <c r="I18">
        <v>0</v>
      </c>
      <c r="J18">
        <v>102.25</v>
      </c>
      <c r="K18">
        <v>0</v>
      </c>
      <c r="L18" s="3">
        <v>45714</v>
      </c>
      <c r="M18" s="2" t="str">
        <f t="shared" si="0"/>
        <v>02/2025</v>
      </c>
    </row>
    <row r="19" spans="1:13" hidden="1" x14ac:dyDescent="0.35">
      <c r="A19">
        <v>1043417</v>
      </c>
      <c r="B19" t="s">
        <v>55</v>
      </c>
      <c r="C19" t="s">
        <v>56</v>
      </c>
      <c r="D19">
        <v>77</v>
      </c>
      <c r="E19" t="s">
        <v>20</v>
      </c>
      <c r="F19">
        <v>1</v>
      </c>
      <c r="G19">
        <v>1</v>
      </c>
      <c r="H19">
        <v>18.899999999999999</v>
      </c>
      <c r="I19">
        <v>0</v>
      </c>
      <c r="J19">
        <v>18.899999999999999</v>
      </c>
      <c r="K19">
        <v>0</v>
      </c>
      <c r="L19" s="3">
        <v>45722</v>
      </c>
      <c r="M19" s="2" t="str">
        <f t="shared" si="0"/>
        <v>03/2025</v>
      </c>
    </row>
    <row r="20" spans="1:13" hidden="1" x14ac:dyDescent="0.35">
      <c r="A20">
        <v>6054</v>
      </c>
      <c r="B20" t="s">
        <v>57</v>
      </c>
      <c r="C20" s="1">
        <v>45731.333333333336</v>
      </c>
      <c r="D20">
        <v>47671</v>
      </c>
      <c r="E20" t="s">
        <v>58</v>
      </c>
      <c r="F20">
        <v>1</v>
      </c>
      <c r="G20">
        <v>1</v>
      </c>
      <c r="H20">
        <v>299.89999999999998</v>
      </c>
      <c r="I20">
        <v>0</v>
      </c>
      <c r="J20">
        <v>299.89999999999998</v>
      </c>
      <c r="K20">
        <v>0</v>
      </c>
      <c r="L20" s="3">
        <v>45731</v>
      </c>
      <c r="M20" s="2" t="str">
        <f t="shared" si="0"/>
        <v>03/2025</v>
      </c>
    </row>
    <row r="21" spans="1:13" hidden="1" x14ac:dyDescent="0.35">
      <c r="A21">
        <v>1043787</v>
      </c>
      <c r="B21" t="s">
        <v>59</v>
      </c>
      <c r="C21" s="1">
        <v>45733.583333333336</v>
      </c>
      <c r="D21">
        <v>19168</v>
      </c>
      <c r="E21" t="s">
        <v>60</v>
      </c>
      <c r="F21">
        <v>1</v>
      </c>
      <c r="G21">
        <v>1</v>
      </c>
      <c r="H21">
        <v>1136.9000000000001</v>
      </c>
      <c r="I21">
        <v>0</v>
      </c>
      <c r="J21">
        <v>1136.9000000000001</v>
      </c>
      <c r="K21">
        <v>0</v>
      </c>
      <c r="L21" s="3">
        <v>45733</v>
      </c>
      <c r="M21" s="2" t="str">
        <f t="shared" si="0"/>
        <v>03/2025</v>
      </c>
    </row>
    <row r="22" spans="1:13" hidden="1" x14ac:dyDescent="0.35">
      <c r="A22">
        <v>71086</v>
      </c>
      <c r="B22" t="s">
        <v>61</v>
      </c>
      <c r="C22" s="1">
        <v>45733.583333333336</v>
      </c>
      <c r="D22">
        <v>42717</v>
      </c>
      <c r="E22" t="s">
        <v>62</v>
      </c>
      <c r="F22">
        <v>1</v>
      </c>
      <c r="G22">
        <v>1</v>
      </c>
      <c r="H22">
        <v>41.9</v>
      </c>
      <c r="I22">
        <v>0</v>
      </c>
      <c r="J22">
        <v>41.9</v>
      </c>
      <c r="K22">
        <v>0</v>
      </c>
      <c r="L22" s="3">
        <v>45733</v>
      </c>
      <c r="M22" s="2" t="str">
        <f t="shared" si="0"/>
        <v>03/2025</v>
      </c>
    </row>
    <row r="23" spans="1:13" hidden="1" x14ac:dyDescent="0.35">
      <c r="A23">
        <v>1044973</v>
      </c>
      <c r="B23" t="s">
        <v>63</v>
      </c>
      <c r="C23" t="s">
        <v>64</v>
      </c>
      <c r="D23">
        <v>1621</v>
      </c>
      <c r="E23" t="s">
        <v>36</v>
      </c>
      <c r="F23">
        <v>1</v>
      </c>
      <c r="G23">
        <v>1</v>
      </c>
      <c r="H23">
        <v>26.9</v>
      </c>
      <c r="I23">
        <v>0</v>
      </c>
      <c r="J23">
        <v>26.9</v>
      </c>
      <c r="K23">
        <v>0</v>
      </c>
      <c r="L23" s="3">
        <v>45735</v>
      </c>
      <c r="M23" s="2" t="str">
        <f t="shared" si="0"/>
        <v>03/2025</v>
      </c>
    </row>
    <row r="24" spans="1:13" hidden="1" x14ac:dyDescent="0.35">
      <c r="A24">
        <v>96827</v>
      </c>
      <c r="B24" t="s">
        <v>65</v>
      </c>
      <c r="C24" t="s">
        <v>66</v>
      </c>
      <c r="D24">
        <v>40595</v>
      </c>
      <c r="E24" t="s">
        <v>48</v>
      </c>
      <c r="F24">
        <v>2</v>
      </c>
      <c r="G24">
        <v>2</v>
      </c>
      <c r="H24">
        <v>29.9</v>
      </c>
      <c r="I24">
        <v>0</v>
      </c>
      <c r="J24">
        <v>59.8</v>
      </c>
      <c r="K24">
        <v>0</v>
      </c>
      <c r="L24" s="3">
        <v>45737</v>
      </c>
      <c r="M24" s="2" t="str">
        <f t="shared" si="0"/>
        <v>03/2025</v>
      </c>
    </row>
    <row r="25" spans="1:13" hidden="1" x14ac:dyDescent="0.35">
      <c r="A25">
        <v>1019042</v>
      </c>
      <c r="B25" t="s">
        <v>67</v>
      </c>
      <c r="C25" t="s">
        <v>68</v>
      </c>
      <c r="D25">
        <v>4694</v>
      </c>
      <c r="E25" t="s">
        <v>69</v>
      </c>
      <c r="F25">
        <v>2</v>
      </c>
      <c r="G25">
        <v>2</v>
      </c>
      <c r="H25">
        <v>26.9</v>
      </c>
      <c r="I25">
        <v>0</v>
      </c>
      <c r="J25">
        <v>53.8</v>
      </c>
      <c r="K25">
        <v>0</v>
      </c>
      <c r="L25" s="3">
        <v>45740</v>
      </c>
      <c r="M25" s="2" t="str">
        <f t="shared" si="0"/>
        <v>03/2025</v>
      </c>
    </row>
    <row r="26" spans="1:13" hidden="1" x14ac:dyDescent="0.35">
      <c r="A26">
        <v>7852</v>
      </c>
      <c r="B26" t="s">
        <v>70</v>
      </c>
      <c r="C26" t="s">
        <v>71</v>
      </c>
      <c r="D26">
        <v>40892</v>
      </c>
      <c r="E26" t="s">
        <v>72</v>
      </c>
      <c r="F26">
        <v>9</v>
      </c>
      <c r="G26">
        <v>9</v>
      </c>
      <c r="H26">
        <v>55.9</v>
      </c>
      <c r="I26">
        <v>0</v>
      </c>
      <c r="J26">
        <v>503.1</v>
      </c>
      <c r="K26">
        <v>0</v>
      </c>
      <c r="L26" s="3">
        <v>45740</v>
      </c>
      <c r="M26" s="2" t="str">
        <f t="shared" si="0"/>
        <v>03/2025</v>
      </c>
    </row>
    <row r="27" spans="1:13" hidden="1" x14ac:dyDescent="0.35">
      <c r="A27">
        <v>1016048</v>
      </c>
      <c r="B27" t="s">
        <v>73</v>
      </c>
      <c r="C27" t="s">
        <v>74</v>
      </c>
      <c r="D27">
        <v>40595</v>
      </c>
      <c r="E27" t="s">
        <v>48</v>
      </c>
      <c r="F27">
        <v>12</v>
      </c>
      <c r="G27">
        <v>12</v>
      </c>
      <c r="H27">
        <v>29.9</v>
      </c>
      <c r="I27">
        <v>0</v>
      </c>
      <c r="J27">
        <v>358.8</v>
      </c>
      <c r="K27">
        <v>0</v>
      </c>
      <c r="L27" s="3">
        <v>45741</v>
      </c>
      <c r="M27" s="2" t="str">
        <f t="shared" si="0"/>
        <v>03/2025</v>
      </c>
    </row>
    <row r="28" spans="1:13" hidden="1" x14ac:dyDescent="0.35">
      <c r="A28">
        <v>35824</v>
      </c>
      <c r="B28" t="s">
        <v>75</v>
      </c>
      <c r="C28" t="s">
        <v>76</v>
      </c>
      <c r="D28">
        <v>50263</v>
      </c>
      <c r="E28" t="s">
        <v>77</v>
      </c>
      <c r="F28">
        <v>1.7</v>
      </c>
      <c r="G28">
        <v>1.7</v>
      </c>
      <c r="H28">
        <v>139.9</v>
      </c>
      <c r="I28">
        <v>0</v>
      </c>
      <c r="J28">
        <v>237.83</v>
      </c>
      <c r="K28">
        <v>0</v>
      </c>
      <c r="L28" s="3">
        <v>45741</v>
      </c>
      <c r="M28" s="2" t="str">
        <f t="shared" si="0"/>
        <v>03/2025</v>
      </c>
    </row>
    <row r="29" spans="1:13" hidden="1" x14ac:dyDescent="0.35">
      <c r="A29">
        <v>1046085</v>
      </c>
      <c r="B29" t="s">
        <v>78</v>
      </c>
      <c r="C29" t="s">
        <v>79</v>
      </c>
      <c r="D29">
        <v>41</v>
      </c>
      <c r="E29" t="s">
        <v>33</v>
      </c>
      <c r="F29">
        <v>1</v>
      </c>
      <c r="G29">
        <v>1</v>
      </c>
      <c r="H29">
        <v>43.9</v>
      </c>
      <c r="I29">
        <v>0</v>
      </c>
      <c r="J29">
        <v>43.9</v>
      </c>
      <c r="K29">
        <v>0</v>
      </c>
      <c r="L29" s="3">
        <v>45741</v>
      </c>
      <c r="M29" s="2" t="str">
        <f t="shared" si="0"/>
        <v>03/2025</v>
      </c>
    </row>
    <row r="30" spans="1:13" hidden="1" x14ac:dyDescent="0.35">
      <c r="A30">
        <v>2071</v>
      </c>
      <c r="B30" t="s">
        <v>80</v>
      </c>
      <c r="C30" t="s">
        <v>81</v>
      </c>
      <c r="D30">
        <v>41</v>
      </c>
      <c r="E30" t="s">
        <v>33</v>
      </c>
      <c r="F30">
        <v>1</v>
      </c>
      <c r="G30">
        <v>1</v>
      </c>
      <c r="H30">
        <v>43.9</v>
      </c>
      <c r="I30">
        <v>0</v>
      </c>
      <c r="J30">
        <v>43.9</v>
      </c>
      <c r="K30">
        <v>0</v>
      </c>
      <c r="L30" s="3">
        <v>45742</v>
      </c>
      <c r="M30" s="2" t="str">
        <f t="shared" si="0"/>
        <v>03/2025</v>
      </c>
    </row>
    <row r="31" spans="1:13" hidden="1" x14ac:dyDescent="0.35">
      <c r="A31">
        <v>2071</v>
      </c>
      <c r="B31" t="s">
        <v>80</v>
      </c>
      <c r="C31" t="s">
        <v>81</v>
      </c>
      <c r="D31">
        <v>2682</v>
      </c>
      <c r="E31" t="s">
        <v>29</v>
      </c>
      <c r="F31">
        <v>1</v>
      </c>
      <c r="G31">
        <v>1</v>
      </c>
      <c r="H31">
        <v>82.9</v>
      </c>
      <c r="I31">
        <v>0</v>
      </c>
      <c r="J31">
        <v>82.9</v>
      </c>
      <c r="K31">
        <v>0</v>
      </c>
      <c r="L31" s="3">
        <v>45742</v>
      </c>
      <c r="M31" s="2" t="str">
        <f t="shared" si="0"/>
        <v>03/2025</v>
      </c>
    </row>
    <row r="32" spans="1:13" hidden="1" x14ac:dyDescent="0.35">
      <c r="A32">
        <v>1024192</v>
      </c>
      <c r="B32" t="s">
        <v>82</v>
      </c>
      <c r="C32" t="s">
        <v>83</v>
      </c>
      <c r="D32">
        <v>40469</v>
      </c>
      <c r="E32" t="s">
        <v>84</v>
      </c>
      <c r="F32">
        <v>2</v>
      </c>
      <c r="G32">
        <v>2</v>
      </c>
      <c r="H32">
        <v>24.9</v>
      </c>
      <c r="I32">
        <v>0</v>
      </c>
      <c r="J32">
        <v>49.8</v>
      </c>
      <c r="K32">
        <v>0</v>
      </c>
      <c r="L32" s="3">
        <v>45742</v>
      </c>
      <c r="M32" s="2" t="str">
        <f t="shared" si="0"/>
        <v>03/2025</v>
      </c>
    </row>
    <row r="33" spans="1:13" hidden="1" x14ac:dyDescent="0.35">
      <c r="A33">
        <v>1045800</v>
      </c>
      <c r="B33" t="s">
        <v>85</v>
      </c>
      <c r="C33" s="1">
        <v>45742.706250000003</v>
      </c>
      <c r="D33">
        <v>42803</v>
      </c>
      <c r="E33" t="s">
        <v>86</v>
      </c>
      <c r="F33">
        <v>1</v>
      </c>
      <c r="G33">
        <v>1</v>
      </c>
      <c r="H33">
        <v>289.89999999999998</v>
      </c>
      <c r="I33">
        <v>0</v>
      </c>
      <c r="J33">
        <v>289.89999999999998</v>
      </c>
      <c r="K33">
        <v>0</v>
      </c>
      <c r="L33" s="3">
        <v>45742</v>
      </c>
      <c r="M33" s="2" t="str">
        <f t="shared" si="0"/>
        <v>03/2025</v>
      </c>
    </row>
    <row r="34" spans="1:13" hidden="1" x14ac:dyDescent="0.35">
      <c r="A34">
        <v>11021</v>
      </c>
      <c r="B34" t="s">
        <v>87</v>
      </c>
      <c r="C34" t="s">
        <v>88</v>
      </c>
      <c r="D34">
        <v>41</v>
      </c>
      <c r="E34" t="s">
        <v>33</v>
      </c>
      <c r="F34">
        <v>13</v>
      </c>
      <c r="G34">
        <v>13</v>
      </c>
      <c r="H34">
        <v>43.9</v>
      </c>
      <c r="I34">
        <v>0</v>
      </c>
      <c r="J34">
        <v>570.70000000000005</v>
      </c>
      <c r="K34">
        <v>0</v>
      </c>
      <c r="L34" s="3">
        <v>45744</v>
      </c>
      <c r="M34" s="2" t="str">
        <f t="shared" si="0"/>
        <v>03/2025</v>
      </c>
    </row>
    <row r="35" spans="1:13" hidden="1" x14ac:dyDescent="0.35">
      <c r="A35">
        <v>1042517</v>
      </c>
      <c r="B35" t="s">
        <v>89</v>
      </c>
      <c r="C35" t="s">
        <v>90</v>
      </c>
      <c r="D35">
        <v>15338</v>
      </c>
      <c r="E35" t="s">
        <v>91</v>
      </c>
      <c r="F35">
        <v>2</v>
      </c>
      <c r="G35">
        <v>2</v>
      </c>
      <c r="H35">
        <v>7999.9</v>
      </c>
      <c r="I35">
        <v>0</v>
      </c>
      <c r="J35">
        <v>15999.8</v>
      </c>
      <c r="K35">
        <v>0</v>
      </c>
      <c r="L35" s="3">
        <v>45744</v>
      </c>
      <c r="M35" s="2" t="str">
        <f t="shared" si="0"/>
        <v>03/2025</v>
      </c>
    </row>
    <row r="36" spans="1:13" hidden="1" x14ac:dyDescent="0.35">
      <c r="A36">
        <v>1042517</v>
      </c>
      <c r="B36" t="s">
        <v>89</v>
      </c>
      <c r="C36" t="s">
        <v>92</v>
      </c>
      <c r="D36">
        <v>35650</v>
      </c>
      <c r="E36" t="s">
        <v>93</v>
      </c>
      <c r="F36">
        <v>1</v>
      </c>
      <c r="G36">
        <v>1</v>
      </c>
      <c r="H36">
        <v>9249.9</v>
      </c>
      <c r="I36">
        <v>0</v>
      </c>
      <c r="J36">
        <v>9249.9</v>
      </c>
      <c r="K36">
        <v>0</v>
      </c>
      <c r="L36" s="3">
        <v>45744</v>
      </c>
      <c r="M36" s="2" t="str">
        <f t="shared" si="0"/>
        <v>03/2025</v>
      </c>
    </row>
    <row r="37" spans="1:13" hidden="1" x14ac:dyDescent="0.35">
      <c r="A37">
        <v>1046106</v>
      </c>
      <c r="B37" t="s">
        <v>94</v>
      </c>
      <c r="C37" t="s">
        <v>95</v>
      </c>
      <c r="D37">
        <v>4694</v>
      </c>
      <c r="E37" t="s">
        <v>69</v>
      </c>
      <c r="F37">
        <v>1</v>
      </c>
      <c r="G37">
        <v>1</v>
      </c>
      <c r="H37">
        <v>26.9</v>
      </c>
      <c r="I37">
        <v>0</v>
      </c>
      <c r="J37">
        <v>26.9</v>
      </c>
      <c r="K37">
        <v>0</v>
      </c>
      <c r="L37" s="3">
        <v>45749</v>
      </c>
      <c r="M37" s="2" t="str">
        <f t="shared" si="0"/>
        <v>04/2025</v>
      </c>
    </row>
    <row r="38" spans="1:13" hidden="1" x14ac:dyDescent="0.35">
      <c r="A38">
        <v>2425</v>
      </c>
      <c r="B38" t="s">
        <v>96</v>
      </c>
      <c r="C38" t="s">
        <v>97</v>
      </c>
      <c r="D38">
        <v>41</v>
      </c>
      <c r="E38" t="s">
        <v>33</v>
      </c>
      <c r="F38">
        <v>4</v>
      </c>
      <c r="G38">
        <v>4</v>
      </c>
      <c r="H38">
        <v>43.9</v>
      </c>
      <c r="I38">
        <v>0</v>
      </c>
      <c r="J38">
        <v>175.6</v>
      </c>
      <c r="K38">
        <v>0</v>
      </c>
      <c r="L38" s="3">
        <v>45751</v>
      </c>
      <c r="M38" s="2" t="str">
        <f t="shared" si="0"/>
        <v>04/2025</v>
      </c>
    </row>
    <row r="39" spans="1:13" hidden="1" x14ac:dyDescent="0.35">
      <c r="A39">
        <v>2425</v>
      </c>
      <c r="B39" t="s">
        <v>96</v>
      </c>
      <c r="C39" t="s">
        <v>97</v>
      </c>
      <c r="D39">
        <v>40474</v>
      </c>
      <c r="E39" t="s">
        <v>98</v>
      </c>
      <c r="F39">
        <v>4</v>
      </c>
      <c r="G39">
        <v>4</v>
      </c>
      <c r="H39">
        <v>24.9</v>
      </c>
      <c r="I39">
        <v>0</v>
      </c>
      <c r="J39">
        <v>99.6</v>
      </c>
      <c r="K39">
        <v>0</v>
      </c>
      <c r="L39" s="3">
        <v>45751</v>
      </c>
      <c r="M39" s="2" t="str">
        <f t="shared" si="0"/>
        <v>04/2025</v>
      </c>
    </row>
    <row r="40" spans="1:13" hidden="1" x14ac:dyDescent="0.35">
      <c r="A40">
        <v>1006744</v>
      </c>
      <c r="B40" t="s">
        <v>99</v>
      </c>
      <c r="C40" t="s">
        <v>100</v>
      </c>
      <c r="D40">
        <v>40595</v>
      </c>
      <c r="E40" t="s">
        <v>48</v>
      </c>
      <c r="F40">
        <v>3</v>
      </c>
      <c r="G40">
        <v>3</v>
      </c>
      <c r="H40">
        <v>29.9</v>
      </c>
      <c r="I40">
        <v>0</v>
      </c>
      <c r="J40">
        <v>89.7</v>
      </c>
      <c r="K40">
        <v>0</v>
      </c>
      <c r="L40" s="3">
        <v>45756</v>
      </c>
      <c r="M40" s="2" t="str">
        <f t="shared" si="0"/>
        <v>04/2025</v>
      </c>
    </row>
    <row r="41" spans="1:13" hidden="1" x14ac:dyDescent="0.35">
      <c r="A41">
        <v>1026486</v>
      </c>
      <c r="B41" t="s">
        <v>101</v>
      </c>
      <c r="C41" t="s">
        <v>102</v>
      </c>
      <c r="D41">
        <v>75</v>
      </c>
      <c r="E41" t="s">
        <v>103</v>
      </c>
      <c r="F41">
        <v>3</v>
      </c>
      <c r="G41">
        <v>3</v>
      </c>
      <c r="H41">
        <v>17.899999999999999</v>
      </c>
      <c r="I41">
        <v>0</v>
      </c>
      <c r="J41">
        <v>53.7</v>
      </c>
      <c r="K41">
        <v>0</v>
      </c>
      <c r="L41" s="3">
        <v>45756</v>
      </c>
      <c r="M41" s="2" t="str">
        <f t="shared" si="0"/>
        <v>04/2025</v>
      </c>
    </row>
    <row r="42" spans="1:13" hidden="1" x14ac:dyDescent="0.35">
      <c r="A42">
        <v>1042491</v>
      </c>
      <c r="B42" t="s">
        <v>104</v>
      </c>
      <c r="C42" t="s">
        <v>105</v>
      </c>
      <c r="D42">
        <v>2682</v>
      </c>
      <c r="E42" t="s">
        <v>29</v>
      </c>
      <c r="F42">
        <v>2</v>
      </c>
      <c r="G42">
        <v>2</v>
      </c>
      <c r="H42">
        <v>82.9</v>
      </c>
      <c r="I42">
        <v>0</v>
      </c>
      <c r="J42">
        <v>165.8</v>
      </c>
      <c r="K42">
        <v>0</v>
      </c>
      <c r="L42" s="3">
        <v>45757</v>
      </c>
      <c r="M42" s="2" t="str">
        <f t="shared" si="0"/>
        <v>04/2025</v>
      </c>
    </row>
    <row r="43" spans="1:13" hidden="1" x14ac:dyDescent="0.35">
      <c r="A43">
        <v>1001124</v>
      </c>
      <c r="B43" t="s">
        <v>106</v>
      </c>
      <c r="C43" t="s">
        <v>107</v>
      </c>
      <c r="D43">
        <v>41</v>
      </c>
      <c r="E43" t="s">
        <v>33</v>
      </c>
      <c r="F43">
        <v>2</v>
      </c>
      <c r="G43">
        <v>2</v>
      </c>
      <c r="H43">
        <v>43.9</v>
      </c>
      <c r="I43">
        <v>0</v>
      </c>
      <c r="J43">
        <v>87.8</v>
      </c>
      <c r="K43">
        <v>0</v>
      </c>
      <c r="L43" s="3">
        <v>45761</v>
      </c>
      <c r="M43" s="2" t="str">
        <f t="shared" si="0"/>
        <v>04/2025</v>
      </c>
    </row>
    <row r="44" spans="1:13" hidden="1" x14ac:dyDescent="0.35">
      <c r="A44">
        <v>1001124</v>
      </c>
      <c r="B44" t="s">
        <v>106</v>
      </c>
      <c r="C44" t="s">
        <v>107</v>
      </c>
      <c r="D44">
        <v>39</v>
      </c>
      <c r="E44" t="s">
        <v>108</v>
      </c>
      <c r="F44">
        <v>5</v>
      </c>
      <c r="G44">
        <v>5</v>
      </c>
      <c r="H44">
        <v>18.899999999999999</v>
      </c>
      <c r="I44">
        <v>0</v>
      </c>
      <c r="J44">
        <v>94.5</v>
      </c>
      <c r="K44">
        <v>0</v>
      </c>
      <c r="L44" s="3">
        <v>45761</v>
      </c>
      <c r="M44" s="2" t="str">
        <f t="shared" si="0"/>
        <v>04/2025</v>
      </c>
    </row>
    <row r="45" spans="1:13" hidden="1" x14ac:dyDescent="0.35">
      <c r="A45">
        <v>1002631</v>
      </c>
      <c r="B45" t="s">
        <v>109</v>
      </c>
      <c r="C45" t="s">
        <v>110</v>
      </c>
      <c r="D45">
        <v>40894</v>
      </c>
      <c r="E45" t="s">
        <v>111</v>
      </c>
      <c r="F45">
        <v>2</v>
      </c>
      <c r="G45">
        <v>2</v>
      </c>
      <c r="H45">
        <v>65.900000000000006</v>
      </c>
      <c r="I45">
        <v>0</v>
      </c>
      <c r="J45">
        <v>131.80000000000001</v>
      </c>
      <c r="K45">
        <v>0</v>
      </c>
      <c r="L45" s="3">
        <v>45762</v>
      </c>
      <c r="M45" s="2" t="str">
        <f t="shared" si="0"/>
        <v>04/2025</v>
      </c>
    </row>
    <row r="46" spans="1:13" hidden="1" x14ac:dyDescent="0.35">
      <c r="A46">
        <v>1046434</v>
      </c>
      <c r="B46" t="s">
        <v>112</v>
      </c>
      <c r="C46" t="s">
        <v>113</v>
      </c>
      <c r="D46">
        <v>21546</v>
      </c>
      <c r="E46" t="s">
        <v>114</v>
      </c>
      <c r="F46">
        <v>5</v>
      </c>
      <c r="G46">
        <v>5</v>
      </c>
      <c r="H46">
        <v>40.9</v>
      </c>
      <c r="I46">
        <v>0</v>
      </c>
      <c r="J46">
        <v>204.5</v>
      </c>
      <c r="K46">
        <v>0</v>
      </c>
      <c r="L46" s="3">
        <v>45763</v>
      </c>
      <c r="M46" s="2" t="str">
        <f t="shared" si="0"/>
        <v>04/2025</v>
      </c>
    </row>
    <row r="47" spans="1:13" hidden="1" x14ac:dyDescent="0.35">
      <c r="A47">
        <v>1046696</v>
      </c>
      <c r="B47" t="s">
        <v>115</v>
      </c>
      <c r="C47" t="s">
        <v>116</v>
      </c>
      <c r="D47">
        <v>13809</v>
      </c>
      <c r="E47" t="s">
        <v>117</v>
      </c>
      <c r="F47">
        <v>1</v>
      </c>
      <c r="G47">
        <v>1</v>
      </c>
      <c r="H47">
        <v>34.9</v>
      </c>
      <c r="I47">
        <v>0</v>
      </c>
      <c r="J47">
        <v>34.9</v>
      </c>
      <c r="K47">
        <v>0</v>
      </c>
      <c r="L47" s="3">
        <v>45763</v>
      </c>
      <c r="M47" s="2" t="str">
        <f t="shared" si="0"/>
        <v>04/2025</v>
      </c>
    </row>
    <row r="48" spans="1:13" hidden="1" x14ac:dyDescent="0.35">
      <c r="A48">
        <v>1042517</v>
      </c>
      <c r="B48" t="s">
        <v>89</v>
      </c>
      <c r="C48" t="s">
        <v>118</v>
      </c>
      <c r="D48">
        <v>37251</v>
      </c>
      <c r="E48" t="s">
        <v>119</v>
      </c>
      <c r="F48">
        <v>50.6</v>
      </c>
      <c r="G48">
        <v>50.6</v>
      </c>
      <c r="H48">
        <v>169.9</v>
      </c>
      <c r="I48">
        <v>0</v>
      </c>
      <c r="J48">
        <v>8596.94</v>
      </c>
      <c r="K48">
        <v>0</v>
      </c>
      <c r="L48" s="3">
        <v>45763</v>
      </c>
      <c r="M48" s="2" t="str">
        <f t="shared" si="0"/>
        <v>04/2025</v>
      </c>
    </row>
    <row r="49" spans="1:13" hidden="1" x14ac:dyDescent="0.35">
      <c r="A49">
        <v>1042517</v>
      </c>
      <c r="B49" t="s">
        <v>89</v>
      </c>
      <c r="C49" t="s">
        <v>120</v>
      </c>
      <c r="D49">
        <v>37243</v>
      </c>
      <c r="E49" t="s">
        <v>121</v>
      </c>
      <c r="F49">
        <v>81.400000000000006</v>
      </c>
      <c r="G49">
        <v>81.400000000000006</v>
      </c>
      <c r="H49">
        <v>145.9</v>
      </c>
      <c r="I49">
        <v>0</v>
      </c>
      <c r="J49">
        <v>11876.26</v>
      </c>
      <c r="K49">
        <v>0</v>
      </c>
      <c r="L49" s="3">
        <v>45763</v>
      </c>
      <c r="M49" s="2" t="str">
        <f t="shared" si="0"/>
        <v>04/2025</v>
      </c>
    </row>
    <row r="50" spans="1:13" hidden="1" x14ac:dyDescent="0.35">
      <c r="A50">
        <v>1046704</v>
      </c>
      <c r="B50" t="s">
        <v>122</v>
      </c>
      <c r="C50" t="s">
        <v>123</v>
      </c>
      <c r="D50">
        <v>13984</v>
      </c>
      <c r="E50" t="s">
        <v>17</v>
      </c>
      <c r="F50">
        <v>3</v>
      </c>
      <c r="G50">
        <v>3</v>
      </c>
      <c r="H50">
        <v>109.9</v>
      </c>
      <c r="I50">
        <v>0</v>
      </c>
      <c r="J50">
        <v>329.7</v>
      </c>
      <c r="K50">
        <v>0</v>
      </c>
      <c r="L50" s="3">
        <v>45763</v>
      </c>
      <c r="M50" s="2" t="str">
        <f t="shared" si="0"/>
        <v>04/2025</v>
      </c>
    </row>
    <row r="51" spans="1:13" hidden="1" x14ac:dyDescent="0.35">
      <c r="A51">
        <v>1023318</v>
      </c>
      <c r="B51" t="s">
        <v>124</v>
      </c>
      <c r="C51" t="s">
        <v>125</v>
      </c>
      <c r="D51">
        <v>50207</v>
      </c>
      <c r="E51" t="s">
        <v>126</v>
      </c>
      <c r="F51">
        <v>3</v>
      </c>
      <c r="G51">
        <v>3</v>
      </c>
      <c r="H51">
        <v>145.9</v>
      </c>
      <c r="I51">
        <v>0</v>
      </c>
      <c r="J51">
        <v>437.7</v>
      </c>
      <c r="K51">
        <v>0</v>
      </c>
      <c r="L51" s="3">
        <v>45763</v>
      </c>
      <c r="M51" s="2" t="str">
        <f t="shared" si="0"/>
        <v>04/2025</v>
      </c>
    </row>
    <row r="52" spans="1:13" hidden="1" x14ac:dyDescent="0.35">
      <c r="A52">
        <v>26990</v>
      </c>
      <c r="B52" t="s">
        <v>127</v>
      </c>
      <c r="C52" t="s">
        <v>128</v>
      </c>
      <c r="D52">
        <v>13809</v>
      </c>
      <c r="E52" t="s">
        <v>117</v>
      </c>
      <c r="F52">
        <v>10</v>
      </c>
      <c r="G52">
        <v>10</v>
      </c>
      <c r="H52">
        <v>34.9</v>
      </c>
      <c r="I52">
        <v>0</v>
      </c>
      <c r="J52">
        <v>349</v>
      </c>
      <c r="K52">
        <v>0</v>
      </c>
      <c r="L52" s="3">
        <v>45764</v>
      </c>
      <c r="M52" s="2" t="str">
        <f t="shared" si="0"/>
        <v>04/2025</v>
      </c>
    </row>
    <row r="53" spans="1:13" hidden="1" x14ac:dyDescent="0.35">
      <c r="A53">
        <v>1001124</v>
      </c>
      <c r="B53" t="s">
        <v>106</v>
      </c>
      <c r="C53" t="s">
        <v>129</v>
      </c>
      <c r="D53">
        <v>41</v>
      </c>
      <c r="E53" t="s">
        <v>33</v>
      </c>
      <c r="F53">
        <v>12</v>
      </c>
      <c r="G53">
        <v>12</v>
      </c>
      <c r="H53">
        <v>43.9</v>
      </c>
      <c r="I53">
        <v>0</v>
      </c>
      <c r="J53">
        <v>526.79999999999995</v>
      </c>
      <c r="K53">
        <v>0</v>
      </c>
      <c r="L53" s="3">
        <v>45764</v>
      </c>
      <c r="M53" s="2" t="str">
        <f t="shared" si="0"/>
        <v>04/2025</v>
      </c>
    </row>
    <row r="54" spans="1:13" hidden="1" x14ac:dyDescent="0.35">
      <c r="A54">
        <v>1046528</v>
      </c>
      <c r="B54" t="s">
        <v>130</v>
      </c>
      <c r="C54" t="s">
        <v>131</v>
      </c>
      <c r="D54">
        <v>40894</v>
      </c>
      <c r="E54" t="s">
        <v>111</v>
      </c>
      <c r="F54">
        <v>5</v>
      </c>
      <c r="G54">
        <v>5</v>
      </c>
      <c r="H54">
        <v>65.900000000000006</v>
      </c>
      <c r="I54">
        <v>0</v>
      </c>
      <c r="J54">
        <v>329.5</v>
      </c>
      <c r="K54">
        <v>0</v>
      </c>
      <c r="L54" s="3">
        <v>45765</v>
      </c>
      <c r="M54" s="2" t="str">
        <f t="shared" si="0"/>
        <v>04/2025</v>
      </c>
    </row>
    <row r="55" spans="1:13" hidden="1" x14ac:dyDescent="0.35">
      <c r="A55">
        <v>1046807</v>
      </c>
      <c r="B55" t="s">
        <v>132</v>
      </c>
      <c r="C55" t="s">
        <v>133</v>
      </c>
      <c r="D55">
        <v>13809</v>
      </c>
      <c r="E55" t="s">
        <v>117</v>
      </c>
      <c r="F55">
        <v>10</v>
      </c>
      <c r="G55">
        <v>10</v>
      </c>
      <c r="H55">
        <v>34.9</v>
      </c>
      <c r="I55">
        <v>0</v>
      </c>
      <c r="J55">
        <v>349</v>
      </c>
      <c r="K55">
        <v>0</v>
      </c>
      <c r="L55" s="3">
        <v>45769</v>
      </c>
      <c r="M55" s="2" t="str">
        <f t="shared" si="0"/>
        <v>04/2025</v>
      </c>
    </row>
    <row r="56" spans="1:13" hidden="1" x14ac:dyDescent="0.35">
      <c r="A56">
        <v>1045683</v>
      </c>
      <c r="B56" t="s">
        <v>134</v>
      </c>
      <c r="C56" s="1">
        <v>45770.583333333336</v>
      </c>
      <c r="D56">
        <v>8837</v>
      </c>
      <c r="E56" t="s">
        <v>135</v>
      </c>
      <c r="F56">
        <v>3</v>
      </c>
      <c r="G56">
        <v>3</v>
      </c>
      <c r="H56">
        <v>11.9</v>
      </c>
      <c r="I56">
        <v>0</v>
      </c>
      <c r="J56">
        <v>35.700000000000003</v>
      </c>
      <c r="K56">
        <v>0</v>
      </c>
      <c r="L56" s="3">
        <v>45770</v>
      </c>
      <c r="M56" s="2" t="str">
        <f t="shared" si="0"/>
        <v>04/2025</v>
      </c>
    </row>
    <row r="57" spans="1:13" hidden="1" x14ac:dyDescent="0.35">
      <c r="A57">
        <v>1013434</v>
      </c>
      <c r="B57" t="s">
        <v>136</v>
      </c>
      <c r="C57" t="s">
        <v>137</v>
      </c>
      <c r="D57">
        <v>13809</v>
      </c>
      <c r="E57" t="s">
        <v>117</v>
      </c>
      <c r="F57">
        <v>1</v>
      </c>
      <c r="G57">
        <v>1</v>
      </c>
      <c r="H57">
        <v>34.9</v>
      </c>
      <c r="I57">
        <v>0</v>
      </c>
      <c r="J57">
        <v>34.9</v>
      </c>
      <c r="K57">
        <v>0</v>
      </c>
      <c r="L57" s="3">
        <v>45770</v>
      </c>
      <c r="M57" s="2" t="str">
        <f t="shared" si="0"/>
        <v>04/2025</v>
      </c>
    </row>
    <row r="58" spans="1:13" hidden="1" x14ac:dyDescent="0.35">
      <c r="A58">
        <v>1031841</v>
      </c>
      <c r="B58" t="s">
        <v>138</v>
      </c>
      <c r="C58" t="s">
        <v>139</v>
      </c>
      <c r="D58">
        <v>58562</v>
      </c>
      <c r="E58" t="s">
        <v>140</v>
      </c>
      <c r="F58">
        <v>7.77</v>
      </c>
      <c r="G58">
        <v>7.77</v>
      </c>
      <c r="H58">
        <v>45.9</v>
      </c>
      <c r="I58">
        <v>0</v>
      </c>
      <c r="J58">
        <v>356.64299999999997</v>
      </c>
      <c r="K58">
        <v>0</v>
      </c>
      <c r="L58" s="3">
        <v>45777</v>
      </c>
      <c r="M58" s="2" t="str">
        <f t="shared" si="0"/>
        <v>04/2025</v>
      </c>
    </row>
    <row r="59" spans="1:13" hidden="1" x14ac:dyDescent="0.35">
      <c r="A59">
        <v>1046848</v>
      </c>
      <c r="B59" t="s">
        <v>141</v>
      </c>
      <c r="C59" t="s">
        <v>142</v>
      </c>
      <c r="D59">
        <v>41</v>
      </c>
      <c r="E59" t="s">
        <v>33</v>
      </c>
      <c r="F59">
        <v>4</v>
      </c>
      <c r="G59">
        <v>4</v>
      </c>
      <c r="H59">
        <v>43.9</v>
      </c>
      <c r="I59">
        <v>0</v>
      </c>
      <c r="J59">
        <v>175.6</v>
      </c>
      <c r="K59">
        <v>0</v>
      </c>
      <c r="L59" s="3">
        <v>45779</v>
      </c>
      <c r="M59" s="2" t="str">
        <f t="shared" si="0"/>
        <v>05/2025</v>
      </c>
    </row>
    <row r="60" spans="1:13" hidden="1" x14ac:dyDescent="0.35">
      <c r="A60">
        <v>1046848</v>
      </c>
      <c r="B60" t="s">
        <v>141</v>
      </c>
      <c r="C60" t="s">
        <v>142</v>
      </c>
      <c r="D60">
        <v>50664</v>
      </c>
      <c r="E60" t="s">
        <v>143</v>
      </c>
      <c r="F60">
        <v>4.42</v>
      </c>
      <c r="G60">
        <v>4.42</v>
      </c>
      <c r="H60">
        <v>66.900000000000006</v>
      </c>
      <c r="I60">
        <v>0</v>
      </c>
      <c r="J60">
        <v>295.69799999999998</v>
      </c>
      <c r="K60">
        <v>0</v>
      </c>
      <c r="L60" s="3">
        <v>45779</v>
      </c>
      <c r="M60" s="2" t="str">
        <f t="shared" si="0"/>
        <v>05/2025</v>
      </c>
    </row>
    <row r="61" spans="1:13" hidden="1" x14ac:dyDescent="0.35">
      <c r="A61">
        <v>3766</v>
      </c>
      <c r="B61" t="s">
        <v>144</v>
      </c>
      <c r="C61" t="s">
        <v>145</v>
      </c>
      <c r="D61">
        <v>13809</v>
      </c>
      <c r="E61" t="s">
        <v>117</v>
      </c>
      <c r="F61">
        <v>7</v>
      </c>
      <c r="G61">
        <v>7</v>
      </c>
      <c r="H61">
        <v>34.9</v>
      </c>
      <c r="I61">
        <v>0</v>
      </c>
      <c r="J61">
        <v>244.3</v>
      </c>
      <c r="K61">
        <v>0</v>
      </c>
      <c r="L61" s="3">
        <v>45783</v>
      </c>
      <c r="M61" s="2" t="str">
        <f t="shared" si="0"/>
        <v>05/2025</v>
      </c>
    </row>
    <row r="62" spans="1:13" hidden="1" x14ac:dyDescent="0.35">
      <c r="A62">
        <v>1015641</v>
      </c>
      <c r="B62" t="s">
        <v>146</v>
      </c>
      <c r="C62" t="s">
        <v>147</v>
      </c>
      <c r="D62">
        <v>5108</v>
      </c>
      <c r="E62" t="s">
        <v>148</v>
      </c>
      <c r="F62">
        <v>2</v>
      </c>
      <c r="G62">
        <v>1</v>
      </c>
      <c r="H62">
        <v>14.9</v>
      </c>
      <c r="I62">
        <v>1</v>
      </c>
      <c r="J62">
        <v>14.9</v>
      </c>
      <c r="K62">
        <v>14.9</v>
      </c>
      <c r="L62" s="3">
        <v>45784</v>
      </c>
      <c r="M62" s="2" t="str">
        <f t="shared" si="0"/>
        <v>05/2025</v>
      </c>
    </row>
    <row r="63" spans="1:13" hidden="1" x14ac:dyDescent="0.35">
      <c r="A63">
        <v>91081</v>
      </c>
      <c r="B63" t="s">
        <v>149</v>
      </c>
      <c r="C63" t="s">
        <v>150</v>
      </c>
      <c r="D63">
        <v>32914</v>
      </c>
      <c r="E63" t="s">
        <v>151</v>
      </c>
      <c r="F63">
        <v>47.16</v>
      </c>
      <c r="G63">
        <v>47.16</v>
      </c>
      <c r="H63">
        <v>44.9</v>
      </c>
      <c r="I63">
        <v>0</v>
      </c>
      <c r="J63">
        <v>2117.4839999999999</v>
      </c>
      <c r="K63">
        <v>0</v>
      </c>
      <c r="L63" s="3">
        <v>45784</v>
      </c>
      <c r="M63" s="2" t="str">
        <f t="shared" si="0"/>
        <v>05/2025</v>
      </c>
    </row>
    <row r="64" spans="1:13" hidden="1" x14ac:dyDescent="0.35">
      <c r="A64">
        <v>1007707</v>
      </c>
      <c r="B64" t="s">
        <v>152</v>
      </c>
      <c r="C64" t="s">
        <v>153</v>
      </c>
      <c r="D64">
        <v>47325</v>
      </c>
      <c r="E64" t="s">
        <v>154</v>
      </c>
      <c r="F64">
        <v>4</v>
      </c>
      <c r="G64">
        <v>4</v>
      </c>
      <c r="H64">
        <v>24.9</v>
      </c>
      <c r="I64">
        <v>0</v>
      </c>
      <c r="J64">
        <v>99.6</v>
      </c>
      <c r="K64">
        <v>0</v>
      </c>
      <c r="L64" s="3">
        <v>45784</v>
      </c>
      <c r="M64" s="2" t="str">
        <f t="shared" si="0"/>
        <v>05/2025</v>
      </c>
    </row>
    <row r="65" spans="1:13" hidden="1" x14ac:dyDescent="0.35">
      <c r="A65">
        <v>1014781</v>
      </c>
      <c r="B65" t="s">
        <v>155</v>
      </c>
      <c r="C65" t="s">
        <v>156</v>
      </c>
      <c r="D65">
        <v>4694</v>
      </c>
      <c r="E65" t="s">
        <v>69</v>
      </c>
      <c r="F65">
        <v>3</v>
      </c>
      <c r="G65">
        <v>3</v>
      </c>
      <c r="H65">
        <v>26.9</v>
      </c>
      <c r="I65">
        <v>0</v>
      </c>
      <c r="J65">
        <v>80.7</v>
      </c>
      <c r="K65">
        <v>0</v>
      </c>
      <c r="L65" s="3">
        <v>45784</v>
      </c>
      <c r="M65" s="2" t="str">
        <f t="shared" si="0"/>
        <v>05/2025</v>
      </c>
    </row>
    <row r="66" spans="1:13" hidden="1" x14ac:dyDescent="0.35">
      <c r="A66">
        <v>1036156</v>
      </c>
      <c r="B66" t="s">
        <v>157</v>
      </c>
      <c r="C66" t="s">
        <v>158</v>
      </c>
      <c r="D66">
        <v>40892</v>
      </c>
      <c r="E66" t="s">
        <v>72</v>
      </c>
      <c r="F66">
        <v>3</v>
      </c>
      <c r="G66">
        <v>3</v>
      </c>
      <c r="H66">
        <v>55.9</v>
      </c>
      <c r="I66">
        <v>0</v>
      </c>
      <c r="J66">
        <v>167.7</v>
      </c>
      <c r="K66">
        <v>0</v>
      </c>
      <c r="L66" s="3">
        <v>45785</v>
      </c>
      <c r="M66" s="2" t="str">
        <f t="shared" si="0"/>
        <v>05/2025</v>
      </c>
    </row>
    <row r="67" spans="1:13" hidden="1" x14ac:dyDescent="0.35">
      <c r="A67">
        <v>1026304</v>
      </c>
      <c r="B67" t="s">
        <v>159</v>
      </c>
      <c r="C67" t="s">
        <v>160</v>
      </c>
      <c r="D67">
        <v>901</v>
      </c>
      <c r="E67" t="s">
        <v>14</v>
      </c>
      <c r="F67">
        <v>10</v>
      </c>
      <c r="G67">
        <v>10</v>
      </c>
      <c r="H67">
        <v>59.9</v>
      </c>
      <c r="I67">
        <v>0</v>
      </c>
      <c r="J67">
        <v>599</v>
      </c>
      <c r="K67">
        <v>0</v>
      </c>
      <c r="L67" s="3">
        <v>45785</v>
      </c>
      <c r="M67" s="2" t="str">
        <f t="shared" ref="M67:M130" si="1">TEXT(L67,"mm")&amp;"/"&amp;YEAR(L67)</f>
        <v>05/2025</v>
      </c>
    </row>
    <row r="68" spans="1:13" hidden="1" x14ac:dyDescent="0.35">
      <c r="A68">
        <v>16805</v>
      </c>
      <c r="B68" t="s">
        <v>161</v>
      </c>
      <c r="C68" t="s">
        <v>162</v>
      </c>
      <c r="D68">
        <v>37950</v>
      </c>
      <c r="E68" t="s">
        <v>163</v>
      </c>
      <c r="F68">
        <v>1</v>
      </c>
      <c r="G68">
        <v>1</v>
      </c>
      <c r="H68">
        <v>169.9</v>
      </c>
      <c r="I68">
        <v>0</v>
      </c>
      <c r="J68">
        <v>169.9</v>
      </c>
      <c r="K68">
        <v>0</v>
      </c>
      <c r="L68" s="3">
        <v>45790</v>
      </c>
      <c r="M68" s="2" t="str">
        <f t="shared" si="1"/>
        <v>05/2025</v>
      </c>
    </row>
    <row r="69" spans="1:13" hidden="1" x14ac:dyDescent="0.35">
      <c r="A69">
        <v>1045784</v>
      </c>
      <c r="B69" t="s">
        <v>164</v>
      </c>
      <c r="C69" t="s">
        <v>165</v>
      </c>
      <c r="D69">
        <v>13809</v>
      </c>
      <c r="E69" t="s">
        <v>117</v>
      </c>
      <c r="F69">
        <v>10</v>
      </c>
      <c r="G69">
        <v>10</v>
      </c>
      <c r="H69">
        <v>34.9</v>
      </c>
      <c r="I69">
        <v>0</v>
      </c>
      <c r="J69">
        <v>349</v>
      </c>
      <c r="K69">
        <v>0</v>
      </c>
      <c r="L69" s="3">
        <v>45790</v>
      </c>
      <c r="M69" s="2" t="str">
        <f t="shared" si="1"/>
        <v>05/2025</v>
      </c>
    </row>
    <row r="70" spans="1:13" hidden="1" x14ac:dyDescent="0.35">
      <c r="A70">
        <v>1044969</v>
      </c>
      <c r="B70" t="s">
        <v>166</v>
      </c>
      <c r="C70" t="s">
        <v>167</v>
      </c>
      <c r="D70">
        <v>13809</v>
      </c>
      <c r="E70" t="s">
        <v>117</v>
      </c>
      <c r="F70">
        <v>9</v>
      </c>
      <c r="G70">
        <v>9</v>
      </c>
      <c r="H70">
        <v>34.9</v>
      </c>
      <c r="I70">
        <v>0</v>
      </c>
      <c r="J70">
        <v>314.10000000000002</v>
      </c>
      <c r="K70">
        <v>0</v>
      </c>
      <c r="L70" s="3">
        <v>45791</v>
      </c>
      <c r="M70" s="2" t="str">
        <f t="shared" si="1"/>
        <v>05/2025</v>
      </c>
    </row>
    <row r="71" spans="1:13" hidden="1" x14ac:dyDescent="0.35">
      <c r="A71">
        <v>1044969</v>
      </c>
      <c r="B71" t="s">
        <v>166</v>
      </c>
      <c r="C71" t="s">
        <v>167</v>
      </c>
      <c r="D71">
        <v>3873</v>
      </c>
      <c r="E71" t="s">
        <v>168</v>
      </c>
      <c r="F71">
        <v>4</v>
      </c>
      <c r="G71">
        <v>4</v>
      </c>
      <c r="H71">
        <v>18.899999999999999</v>
      </c>
      <c r="I71">
        <v>0</v>
      </c>
      <c r="J71">
        <v>75.599999999999994</v>
      </c>
      <c r="K71">
        <v>0</v>
      </c>
      <c r="L71" s="3">
        <v>45791</v>
      </c>
      <c r="M71" s="2" t="str">
        <f t="shared" si="1"/>
        <v>05/2025</v>
      </c>
    </row>
    <row r="72" spans="1:13" hidden="1" x14ac:dyDescent="0.35">
      <c r="A72">
        <v>1015049</v>
      </c>
      <c r="B72" t="s">
        <v>169</v>
      </c>
      <c r="C72" t="s">
        <v>170</v>
      </c>
      <c r="D72">
        <v>8105</v>
      </c>
      <c r="E72" t="s">
        <v>171</v>
      </c>
      <c r="F72">
        <v>2</v>
      </c>
      <c r="G72">
        <v>2</v>
      </c>
      <c r="H72">
        <v>44.9</v>
      </c>
      <c r="I72">
        <v>0</v>
      </c>
      <c r="J72">
        <v>89.8</v>
      </c>
      <c r="K72">
        <v>0</v>
      </c>
      <c r="L72" s="3">
        <v>45791</v>
      </c>
      <c r="M72" s="2" t="str">
        <f t="shared" si="1"/>
        <v>05/2025</v>
      </c>
    </row>
    <row r="73" spans="1:13" hidden="1" x14ac:dyDescent="0.35">
      <c r="A73">
        <v>1047360</v>
      </c>
      <c r="B73" t="s">
        <v>172</v>
      </c>
      <c r="C73" t="s">
        <v>173</v>
      </c>
      <c r="D73">
        <v>37</v>
      </c>
      <c r="E73" t="s">
        <v>45</v>
      </c>
      <c r="F73">
        <v>2</v>
      </c>
      <c r="G73">
        <v>2</v>
      </c>
      <c r="H73">
        <v>18.899999999999999</v>
      </c>
      <c r="I73">
        <v>0</v>
      </c>
      <c r="J73">
        <v>37.799999999999997</v>
      </c>
      <c r="K73">
        <v>0</v>
      </c>
      <c r="L73" s="3">
        <v>45792</v>
      </c>
      <c r="M73" s="2" t="str">
        <f t="shared" si="1"/>
        <v>05/2025</v>
      </c>
    </row>
    <row r="74" spans="1:13" hidden="1" x14ac:dyDescent="0.35">
      <c r="A74">
        <v>1047203</v>
      </c>
      <c r="B74" t="s">
        <v>174</v>
      </c>
      <c r="C74" t="s">
        <v>175</v>
      </c>
      <c r="D74">
        <v>13809</v>
      </c>
      <c r="E74" t="s">
        <v>117</v>
      </c>
      <c r="F74">
        <v>1</v>
      </c>
      <c r="G74">
        <v>1</v>
      </c>
      <c r="H74">
        <v>34.9</v>
      </c>
      <c r="I74">
        <v>0</v>
      </c>
      <c r="J74">
        <v>34.9</v>
      </c>
      <c r="K74">
        <v>0</v>
      </c>
      <c r="L74" s="3">
        <v>45793</v>
      </c>
      <c r="M74" s="2" t="str">
        <f t="shared" si="1"/>
        <v>05/2025</v>
      </c>
    </row>
    <row r="75" spans="1:13" hidden="1" x14ac:dyDescent="0.35">
      <c r="A75">
        <v>1047203</v>
      </c>
      <c r="B75" t="s">
        <v>174</v>
      </c>
      <c r="C75" t="s">
        <v>175</v>
      </c>
      <c r="D75">
        <v>46005</v>
      </c>
      <c r="E75" t="s">
        <v>176</v>
      </c>
      <c r="F75">
        <v>4</v>
      </c>
      <c r="G75">
        <v>4</v>
      </c>
      <c r="H75">
        <v>99.9</v>
      </c>
      <c r="I75">
        <v>0</v>
      </c>
      <c r="J75">
        <v>399.6</v>
      </c>
      <c r="K75">
        <v>0</v>
      </c>
      <c r="L75" s="3">
        <v>45793</v>
      </c>
      <c r="M75" s="2" t="str">
        <f t="shared" si="1"/>
        <v>05/2025</v>
      </c>
    </row>
    <row r="76" spans="1:13" hidden="1" x14ac:dyDescent="0.35">
      <c r="A76">
        <v>70694</v>
      </c>
      <c r="B76" t="s">
        <v>177</v>
      </c>
      <c r="C76" t="s">
        <v>178</v>
      </c>
      <c r="D76">
        <v>40595</v>
      </c>
      <c r="E76" t="s">
        <v>48</v>
      </c>
      <c r="F76">
        <v>10</v>
      </c>
      <c r="G76">
        <v>10</v>
      </c>
      <c r="H76">
        <v>29.9</v>
      </c>
      <c r="I76">
        <v>0</v>
      </c>
      <c r="J76">
        <v>299</v>
      </c>
      <c r="K76">
        <v>0</v>
      </c>
      <c r="L76" s="3">
        <v>45793</v>
      </c>
      <c r="M76" s="2" t="str">
        <f t="shared" si="1"/>
        <v>05/2025</v>
      </c>
    </row>
    <row r="77" spans="1:13" hidden="1" x14ac:dyDescent="0.35">
      <c r="A77">
        <v>95703</v>
      </c>
      <c r="B77" t="s">
        <v>179</v>
      </c>
      <c r="C77" t="s">
        <v>180</v>
      </c>
      <c r="D77">
        <v>59954</v>
      </c>
      <c r="E77" t="s">
        <v>181</v>
      </c>
      <c r="F77">
        <v>24.12</v>
      </c>
      <c r="G77">
        <v>24.12</v>
      </c>
      <c r="H77">
        <v>45.9</v>
      </c>
      <c r="I77">
        <v>0</v>
      </c>
      <c r="J77">
        <v>1107.1079999999999</v>
      </c>
      <c r="K77">
        <v>0</v>
      </c>
      <c r="L77" s="3">
        <v>45798</v>
      </c>
      <c r="M77" s="2" t="str">
        <f t="shared" si="1"/>
        <v>05/2025</v>
      </c>
    </row>
    <row r="78" spans="1:13" hidden="1" x14ac:dyDescent="0.35">
      <c r="A78">
        <v>8438</v>
      </c>
      <c r="B78" t="s">
        <v>182</v>
      </c>
      <c r="C78" t="s">
        <v>183</v>
      </c>
      <c r="D78">
        <v>40595</v>
      </c>
      <c r="E78" t="s">
        <v>48</v>
      </c>
      <c r="F78">
        <v>1</v>
      </c>
      <c r="G78">
        <v>1</v>
      </c>
      <c r="H78">
        <v>29.9</v>
      </c>
      <c r="I78">
        <v>0</v>
      </c>
      <c r="J78">
        <v>29.9</v>
      </c>
      <c r="K78">
        <v>0</v>
      </c>
      <c r="L78" s="3">
        <v>45798</v>
      </c>
      <c r="M78" s="2" t="str">
        <f t="shared" si="1"/>
        <v>05/2025</v>
      </c>
    </row>
    <row r="79" spans="1:13" hidden="1" x14ac:dyDescent="0.35">
      <c r="A79">
        <v>1003572</v>
      </c>
      <c r="B79" t="s">
        <v>184</v>
      </c>
      <c r="C79" t="s">
        <v>185</v>
      </c>
      <c r="D79">
        <v>41</v>
      </c>
      <c r="E79" t="s">
        <v>33</v>
      </c>
      <c r="F79">
        <v>2</v>
      </c>
      <c r="G79">
        <v>2</v>
      </c>
      <c r="H79">
        <v>43.9</v>
      </c>
      <c r="I79">
        <v>0</v>
      </c>
      <c r="J79">
        <v>87.8</v>
      </c>
      <c r="K79">
        <v>0</v>
      </c>
      <c r="L79" s="3">
        <v>45799</v>
      </c>
      <c r="M79" s="2" t="str">
        <f t="shared" si="1"/>
        <v>05/2025</v>
      </c>
    </row>
    <row r="80" spans="1:13" hidden="1" x14ac:dyDescent="0.35">
      <c r="A80">
        <v>1047594</v>
      </c>
      <c r="B80" t="s">
        <v>186</v>
      </c>
      <c r="C80" t="s">
        <v>187</v>
      </c>
      <c r="D80">
        <v>38</v>
      </c>
      <c r="E80" t="s">
        <v>188</v>
      </c>
      <c r="F80">
        <v>2</v>
      </c>
      <c r="G80">
        <v>2</v>
      </c>
      <c r="H80">
        <v>18.899999999999999</v>
      </c>
      <c r="I80">
        <v>0</v>
      </c>
      <c r="J80">
        <v>37.799999999999997</v>
      </c>
      <c r="K80">
        <v>0</v>
      </c>
      <c r="L80" s="3">
        <v>45800</v>
      </c>
      <c r="M80" s="2" t="str">
        <f t="shared" si="1"/>
        <v>05/2025</v>
      </c>
    </row>
    <row r="81" spans="1:13" hidden="1" x14ac:dyDescent="0.35">
      <c r="A81">
        <v>1254</v>
      </c>
      <c r="B81" t="s">
        <v>189</v>
      </c>
      <c r="C81" t="s">
        <v>190</v>
      </c>
      <c r="D81">
        <v>2851</v>
      </c>
      <c r="E81" t="s">
        <v>26</v>
      </c>
      <c r="F81">
        <v>1</v>
      </c>
      <c r="G81">
        <v>1</v>
      </c>
      <c r="H81">
        <v>51.9</v>
      </c>
      <c r="I81">
        <v>0</v>
      </c>
      <c r="J81">
        <v>51.9</v>
      </c>
      <c r="K81">
        <v>0</v>
      </c>
      <c r="L81" s="3">
        <v>45800</v>
      </c>
      <c r="M81" s="2" t="str">
        <f t="shared" si="1"/>
        <v>05/2025</v>
      </c>
    </row>
    <row r="82" spans="1:13" hidden="1" x14ac:dyDescent="0.35">
      <c r="A82">
        <v>1046265</v>
      </c>
      <c r="B82" t="s">
        <v>191</v>
      </c>
      <c r="C82" t="s">
        <v>192</v>
      </c>
      <c r="D82">
        <v>1621</v>
      </c>
      <c r="E82" t="s">
        <v>36</v>
      </c>
      <c r="F82">
        <v>1</v>
      </c>
      <c r="G82">
        <v>1</v>
      </c>
      <c r="H82">
        <v>26.9</v>
      </c>
      <c r="I82">
        <v>0</v>
      </c>
      <c r="J82">
        <v>26.9</v>
      </c>
      <c r="K82">
        <v>0</v>
      </c>
      <c r="L82" s="3">
        <v>45804</v>
      </c>
      <c r="M82" s="2" t="str">
        <f t="shared" si="1"/>
        <v>05/2025</v>
      </c>
    </row>
    <row r="83" spans="1:13" hidden="1" x14ac:dyDescent="0.35">
      <c r="A83">
        <v>1046265</v>
      </c>
      <c r="B83" t="s">
        <v>191</v>
      </c>
      <c r="C83" t="s">
        <v>192</v>
      </c>
      <c r="D83">
        <v>4694</v>
      </c>
      <c r="E83" t="s">
        <v>69</v>
      </c>
      <c r="F83">
        <v>4</v>
      </c>
      <c r="G83">
        <v>4</v>
      </c>
      <c r="H83">
        <v>26.9</v>
      </c>
      <c r="I83">
        <v>0</v>
      </c>
      <c r="J83">
        <v>107.6</v>
      </c>
      <c r="K83">
        <v>0</v>
      </c>
      <c r="L83" s="3">
        <v>45804</v>
      </c>
      <c r="M83" s="2" t="str">
        <f t="shared" si="1"/>
        <v>05/2025</v>
      </c>
    </row>
    <row r="84" spans="1:13" hidden="1" x14ac:dyDescent="0.35">
      <c r="A84">
        <v>1047741</v>
      </c>
      <c r="B84" t="s">
        <v>193</v>
      </c>
      <c r="C84" t="s">
        <v>194</v>
      </c>
      <c r="D84">
        <v>2851</v>
      </c>
      <c r="E84" t="s">
        <v>26</v>
      </c>
      <c r="F84">
        <v>3</v>
      </c>
      <c r="G84">
        <v>3</v>
      </c>
      <c r="H84">
        <v>51.9</v>
      </c>
      <c r="I84">
        <v>0</v>
      </c>
      <c r="J84">
        <v>155.69999999999999</v>
      </c>
      <c r="K84">
        <v>0</v>
      </c>
      <c r="L84" s="3">
        <v>45804</v>
      </c>
      <c r="M84" s="2" t="str">
        <f t="shared" si="1"/>
        <v>05/2025</v>
      </c>
    </row>
    <row r="85" spans="1:13" hidden="1" x14ac:dyDescent="0.35">
      <c r="A85">
        <v>1017756</v>
      </c>
      <c r="B85" t="s">
        <v>195</v>
      </c>
      <c r="C85" s="2">
        <v>45806</v>
      </c>
      <c r="D85">
        <v>1622</v>
      </c>
      <c r="E85" t="s">
        <v>196</v>
      </c>
      <c r="F85">
        <v>8</v>
      </c>
      <c r="G85">
        <v>8</v>
      </c>
      <c r="H85">
        <v>24.9</v>
      </c>
      <c r="I85">
        <v>0</v>
      </c>
      <c r="J85">
        <v>199.2</v>
      </c>
      <c r="K85">
        <v>0</v>
      </c>
      <c r="L85" s="3">
        <v>45806</v>
      </c>
      <c r="M85" s="2" t="str">
        <f t="shared" si="1"/>
        <v>05/2025</v>
      </c>
    </row>
    <row r="86" spans="1:13" hidden="1" x14ac:dyDescent="0.35">
      <c r="A86">
        <v>1030613</v>
      </c>
      <c r="B86" t="s">
        <v>197</v>
      </c>
      <c r="C86" t="s">
        <v>198</v>
      </c>
      <c r="D86">
        <v>13809</v>
      </c>
      <c r="E86" t="s">
        <v>117</v>
      </c>
      <c r="F86">
        <v>4</v>
      </c>
      <c r="G86">
        <v>4</v>
      </c>
      <c r="H86">
        <v>34.9</v>
      </c>
      <c r="I86">
        <v>0</v>
      </c>
      <c r="J86">
        <v>139.6</v>
      </c>
      <c r="K86">
        <v>0</v>
      </c>
      <c r="L86" s="3">
        <v>45811</v>
      </c>
      <c r="M86" s="2" t="str">
        <f t="shared" si="1"/>
        <v>06/2025</v>
      </c>
    </row>
    <row r="87" spans="1:13" hidden="1" x14ac:dyDescent="0.35">
      <c r="A87">
        <v>26885</v>
      </c>
      <c r="B87" t="s">
        <v>199</v>
      </c>
      <c r="C87" t="s">
        <v>200</v>
      </c>
      <c r="D87">
        <v>40595</v>
      </c>
      <c r="E87" t="s">
        <v>48</v>
      </c>
      <c r="F87">
        <v>2</v>
      </c>
      <c r="G87">
        <v>2</v>
      </c>
      <c r="H87">
        <v>29.9</v>
      </c>
      <c r="I87">
        <v>0</v>
      </c>
      <c r="J87">
        <v>59.8</v>
      </c>
      <c r="K87">
        <v>0</v>
      </c>
      <c r="L87" s="3">
        <v>45812</v>
      </c>
      <c r="M87" s="2" t="str">
        <f t="shared" si="1"/>
        <v>06/2025</v>
      </c>
    </row>
    <row r="88" spans="1:13" hidden="1" x14ac:dyDescent="0.35">
      <c r="A88">
        <v>1047843</v>
      </c>
      <c r="B88" t="s">
        <v>201</v>
      </c>
      <c r="C88" t="s">
        <v>202</v>
      </c>
      <c r="D88">
        <v>59924</v>
      </c>
      <c r="E88" t="s">
        <v>203</v>
      </c>
      <c r="F88">
        <v>4.42</v>
      </c>
      <c r="G88">
        <v>4.42</v>
      </c>
      <c r="H88">
        <v>43.9</v>
      </c>
      <c r="I88">
        <v>0</v>
      </c>
      <c r="J88">
        <v>194.03800000000001</v>
      </c>
      <c r="K88">
        <v>0</v>
      </c>
      <c r="L88" s="3">
        <v>45812</v>
      </c>
      <c r="M88" s="2" t="str">
        <f t="shared" si="1"/>
        <v>06/2025</v>
      </c>
    </row>
    <row r="89" spans="1:13" hidden="1" x14ac:dyDescent="0.35">
      <c r="A89">
        <v>10400</v>
      </c>
      <c r="B89" t="s">
        <v>204</v>
      </c>
      <c r="C89" t="s">
        <v>205</v>
      </c>
      <c r="D89">
        <v>4694</v>
      </c>
      <c r="E89" t="s">
        <v>69</v>
      </c>
      <c r="F89">
        <v>1</v>
      </c>
      <c r="G89">
        <v>1</v>
      </c>
      <c r="H89">
        <v>26.9</v>
      </c>
      <c r="I89">
        <v>0</v>
      </c>
      <c r="J89">
        <v>26.9</v>
      </c>
      <c r="K89">
        <v>0</v>
      </c>
      <c r="L89" s="3">
        <v>45812</v>
      </c>
      <c r="M89" s="2" t="str">
        <f t="shared" si="1"/>
        <v>06/2025</v>
      </c>
    </row>
    <row r="90" spans="1:13" hidden="1" x14ac:dyDescent="0.35">
      <c r="A90">
        <v>1023375</v>
      </c>
      <c r="B90" t="s">
        <v>206</v>
      </c>
      <c r="C90" t="s">
        <v>207</v>
      </c>
      <c r="D90">
        <v>21645</v>
      </c>
      <c r="E90" t="s">
        <v>208</v>
      </c>
      <c r="F90">
        <v>2.23</v>
      </c>
      <c r="G90">
        <v>2.23</v>
      </c>
      <c r="H90">
        <v>46.9</v>
      </c>
      <c r="I90">
        <v>0</v>
      </c>
      <c r="J90">
        <v>104.587</v>
      </c>
      <c r="K90">
        <v>0</v>
      </c>
      <c r="L90" s="3">
        <v>45813</v>
      </c>
      <c r="M90" s="2" t="str">
        <f t="shared" si="1"/>
        <v>06/2025</v>
      </c>
    </row>
    <row r="91" spans="1:13" hidden="1" x14ac:dyDescent="0.35">
      <c r="A91">
        <v>1045747</v>
      </c>
      <c r="B91" t="s">
        <v>209</v>
      </c>
      <c r="C91" t="s">
        <v>210</v>
      </c>
      <c r="D91">
        <v>40595</v>
      </c>
      <c r="E91" t="s">
        <v>48</v>
      </c>
      <c r="F91">
        <v>2</v>
      </c>
      <c r="G91">
        <v>2</v>
      </c>
      <c r="H91">
        <v>29.9</v>
      </c>
      <c r="I91">
        <v>0</v>
      </c>
      <c r="J91">
        <v>59.8</v>
      </c>
      <c r="K91">
        <v>0</v>
      </c>
      <c r="L91" s="3">
        <v>45813</v>
      </c>
      <c r="M91" s="2" t="str">
        <f t="shared" si="1"/>
        <v>06/2025</v>
      </c>
    </row>
    <row r="92" spans="1:13" hidden="1" x14ac:dyDescent="0.35">
      <c r="A92">
        <v>60005</v>
      </c>
      <c r="B92" t="s">
        <v>211</v>
      </c>
      <c r="C92" t="s">
        <v>212</v>
      </c>
      <c r="D92">
        <v>40595</v>
      </c>
      <c r="E92" t="s">
        <v>48</v>
      </c>
      <c r="F92">
        <v>1</v>
      </c>
      <c r="G92">
        <v>1</v>
      </c>
      <c r="H92">
        <v>29.9</v>
      </c>
      <c r="I92">
        <v>0</v>
      </c>
      <c r="J92">
        <v>29.9</v>
      </c>
      <c r="K92">
        <v>0</v>
      </c>
      <c r="L92" s="3">
        <v>45814</v>
      </c>
      <c r="M92" s="2" t="str">
        <f t="shared" si="1"/>
        <v>06/2025</v>
      </c>
    </row>
    <row r="93" spans="1:13" hidden="1" x14ac:dyDescent="0.35">
      <c r="A93">
        <v>1047998</v>
      </c>
      <c r="B93" t="s">
        <v>213</v>
      </c>
      <c r="C93" t="s">
        <v>214</v>
      </c>
      <c r="D93">
        <v>41</v>
      </c>
      <c r="E93" t="s">
        <v>33</v>
      </c>
      <c r="F93">
        <v>4</v>
      </c>
      <c r="G93">
        <v>4</v>
      </c>
      <c r="H93">
        <v>43.9</v>
      </c>
      <c r="I93">
        <v>0</v>
      </c>
      <c r="J93">
        <v>175.6</v>
      </c>
      <c r="K93">
        <v>0</v>
      </c>
      <c r="L93" s="3">
        <v>45819</v>
      </c>
      <c r="M93" s="2" t="str">
        <f t="shared" si="1"/>
        <v>06/2025</v>
      </c>
    </row>
    <row r="94" spans="1:13" hidden="1" x14ac:dyDescent="0.35">
      <c r="A94">
        <v>1047998</v>
      </c>
      <c r="B94" t="s">
        <v>213</v>
      </c>
      <c r="C94" t="s">
        <v>214</v>
      </c>
      <c r="D94">
        <v>38</v>
      </c>
      <c r="E94" t="s">
        <v>188</v>
      </c>
      <c r="F94">
        <v>6</v>
      </c>
      <c r="G94">
        <v>6</v>
      </c>
      <c r="H94">
        <v>18.899999999999999</v>
      </c>
      <c r="I94">
        <v>0</v>
      </c>
      <c r="J94">
        <v>113.4</v>
      </c>
      <c r="K94">
        <v>0</v>
      </c>
      <c r="L94" s="3">
        <v>45819</v>
      </c>
      <c r="M94" s="2" t="str">
        <f t="shared" si="1"/>
        <v>06/2025</v>
      </c>
    </row>
    <row r="95" spans="1:13" hidden="1" x14ac:dyDescent="0.35">
      <c r="A95">
        <v>1032539</v>
      </c>
      <c r="B95" t="s">
        <v>215</v>
      </c>
      <c r="C95" t="s">
        <v>216</v>
      </c>
      <c r="D95">
        <v>17268</v>
      </c>
      <c r="E95" t="s">
        <v>217</v>
      </c>
      <c r="F95">
        <v>4</v>
      </c>
      <c r="G95">
        <v>4</v>
      </c>
      <c r="H95">
        <v>69.900000000000006</v>
      </c>
      <c r="I95">
        <v>0</v>
      </c>
      <c r="J95">
        <v>279.60000000000002</v>
      </c>
      <c r="K95">
        <v>0</v>
      </c>
      <c r="L95" s="3">
        <v>45820</v>
      </c>
      <c r="M95" s="2" t="str">
        <f t="shared" si="1"/>
        <v>06/2025</v>
      </c>
    </row>
    <row r="96" spans="1:13" hidden="1" x14ac:dyDescent="0.35">
      <c r="A96">
        <v>1047918</v>
      </c>
      <c r="B96" t="s">
        <v>218</v>
      </c>
      <c r="C96" t="s">
        <v>219</v>
      </c>
      <c r="D96">
        <v>40595</v>
      </c>
      <c r="E96" t="s">
        <v>48</v>
      </c>
      <c r="F96">
        <v>3</v>
      </c>
      <c r="G96">
        <v>3</v>
      </c>
      <c r="H96">
        <v>29.9</v>
      </c>
      <c r="I96">
        <v>0</v>
      </c>
      <c r="J96">
        <v>89.7</v>
      </c>
      <c r="K96">
        <v>0</v>
      </c>
      <c r="L96" s="3">
        <v>45820</v>
      </c>
      <c r="M96" s="2" t="str">
        <f t="shared" si="1"/>
        <v>06/2025</v>
      </c>
    </row>
    <row r="97" spans="1:13" hidden="1" x14ac:dyDescent="0.35">
      <c r="A97">
        <v>42651</v>
      </c>
      <c r="B97" t="s">
        <v>220</v>
      </c>
      <c r="C97" t="s">
        <v>221</v>
      </c>
      <c r="D97">
        <v>40595</v>
      </c>
      <c r="E97" t="s">
        <v>48</v>
      </c>
      <c r="F97">
        <v>12</v>
      </c>
      <c r="G97">
        <v>12</v>
      </c>
      <c r="H97">
        <v>29.9</v>
      </c>
      <c r="I97">
        <v>0</v>
      </c>
      <c r="J97">
        <v>358.8</v>
      </c>
      <c r="K97">
        <v>0</v>
      </c>
      <c r="L97" s="3">
        <v>45824</v>
      </c>
      <c r="M97" s="2" t="str">
        <f t="shared" si="1"/>
        <v>06/2025</v>
      </c>
    </row>
    <row r="98" spans="1:13" hidden="1" x14ac:dyDescent="0.35">
      <c r="A98">
        <v>45019</v>
      </c>
      <c r="B98" t="s">
        <v>222</v>
      </c>
      <c r="C98" t="s">
        <v>223</v>
      </c>
      <c r="D98">
        <v>2851</v>
      </c>
      <c r="E98" t="s">
        <v>26</v>
      </c>
      <c r="F98">
        <v>15</v>
      </c>
      <c r="G98">
        <v>15</v>
      </c>
      <c r="H98">
        <v>51.9</v>
      </c>
      <c r="I98">
        <v>0</v>
      </c>
      <c r="J98">
        <v>778.5</v>
      </c>
      <c r="K98">
        <v>0</v>
      </c>
      <c r="L98" s="3">
        <v>45824</v>
      </c>
      <c r="M98" s="2" t="str">
        <f t="shared" si="1"/>
        <v>06/2025</v>
      </c>
    </row>
    <row r="99" spans="1:13" hidden="1" x14ac:dyDescent="0.35">
      <c r="A99">
        <v>6107</v>
      </c>
      <c r="B99" t="s">
        <v>224</v>
      </c>
      <c r="C99" t="s">
        <v>225</v>
      </c>
      <c r="D99">
        <v>40595</v>
      </c>
      <c r="E99" t="s">
        <v>48</v>
      </c>
      <c r="F99">
        <v>10</v>
      </c>
      <c r="G99">
        <v>10</v>
      </c>
      <c r="H99">
        <v>29.9</v>
      </c>
      <c r="I99">
        <v>0</v>
      </c>
      <c r="J99">
        <v>299</v>
      </c>
      <c r="K99">
        <v>0</v>
      </c>
      <c r="L99" s="3">
        <v>45826</v>
      </c>
      <c r="M99" s="2" t="str">
        <f t="shared" si="1"/>
        <v>06/2025</v>
      </c>
    </row>
    <row r="100" spans="1:13" hidden="1" x14ac:dyDescent="0.35">
      <c r="A100">
        <v>6107</v>
      </c>
      <c r="B100" t="s">
        <v>224</v>
      </c>
      <c r="C100" t="s">
        <v>225</v>
      </c>
      <c r="D100">
        <v>33673</v>
      </c>
      <c r="E100" t="s">
        <v>226</v>
      </c>
      <c r="F100">
        <v>2.62</v>
      </c>
      <c r="G100">
        <v>2.62</v>
      </c>
      <c r="H100">
        <v>44.9</v>
      </c>
      <c r="I100">
        <v>0</v>
      </c>
      <c r="J100">
        <v>117.63800000000001</v>
      </c>
      <c r="K100">
        <v>0</v>
      </c>
      <c r="L100" s="3">
        <v>45826</v>
      </c>
      <c r="M100" s="2" t="str">
        <f t="shared" si="1"/>
        <v>06/2025</v>
      </c>
    </row>
    <row r="101" spans="1:13" hidden="1" x14ac:dyDescent="0.35">
      <c r="A101">
        <v>6107</v>
      </c>
      <c r="B101" t="s">
        <v>224</v>
      </c>
      <c r="C101" t="s">
        <v>225</v>
      </c>
      <c r="D101">
        <v>33673</v>
      </c>
      <c r="E101" t="s">
        <v>226</v>
      </c>
      <c r="F101">
        <v>7.86</v>
      </c>
      <c r="G101">
        <v>7.86</v>
      </c>
      <c r="H101">
        <v>44.9</v>
      </c>
      <c r="I101">
        <v>0</v>
      </c>
      <c r="J101">
        <v>352.91399999999999</v>
      </c>
      <c r="K101">
        <v>0</v>
      </c>
      <c r="L101" s="3">
        <v>45826</v>
      </c>
      <c r="M101" s="2" t="str">
        <f t="shared" si="1"/>
        <v>06/2025</v>
      </c>
    </row>
    <row r="102" spans="1:13" hidden="1" x14ac:dyDescent="0.35">
      <c r="A102">
        <v>1033093</v>
      </c>
      <c r="B102" t="s">
        <v>227</v>
      </c>
      <c r="C102" t="s">
        <v>228</v>
      </c>
      <c r="D102">
        <v>3873</v>
      </c>
      <c r="E102" t="s">
        <v>168</v>
      </c>
      <c r="F102">
        <v>1</v>
      </c>
      <c r="G102">
        <v>1</v>
      </c>
      <c r="H102">
        <v>18.899999999999999</v>
      </c>
      <c r="I102">
        <v>0</v>
      </c>
      <c r="J102">
        <v>18.899999999999999</v>
      </c>
      <c r="K102">
        <v>0</v>
      </c>
      <c r="L102" s="3">
        <v>45826</v>
      </c>
      <c r="M102" s="2" t="str">
        <f t="shared" si="1"/>
        <v>06/2025</v>
      </c>
    </row>
    <row r="103" spans="1:13" hidden="1" x14ac:dyDescent="0.35">
      <c r="A103">
        <v>1033093</v>
      </c>
      <c r="B103" t="s">
        <v>227</v>
      </c>
      <c r="C103" t="s">
        <v>228</v>
      </c>
      <c r="D103">
        <v>59920</v>
      </c>
      <c r="E103" t="s">
        <v>229</v>
      </c>
      <c r="F103">
        <v>2.21</v>
      </c>
      <c r="G103">
        <v>2.21</v>
      </c>
      <c r="H103">
        <v>43.9</v>
      </c>
      <c r="I103">
        <v>0</v>
      </c>
      <c r="J103">
        <v>97.019000000000005</v>
      </c>
      <c r="K103">
        <v>0</v>
      </c>
      <c r="L103" s="3">
        <v>45826</v>
      </c>
      <c r="M103" s="2" t="str">
        <f t="shared" si="1"/>
        <v>06/2025</v>
      </c>
    </row>
    <row r="104" spans="1:13" hidden="1" x14ac:dyDescent="0.35">
      <c r="A104">
        <v>40843</v>
      </c>
      <c r="B104" t="s">
        <v>230</v>
      </c>
      <c r="C104" t="s">
        <v>231</v>
      </c>
      <c r="D104">
        <v>59948</v>
      </c>
      <c r="E104" t="s">
        <v>232</v>
      </c>
      <c r="F104">
        <v>2.68</v>
      </c>
      <c r="G104">
        <v>2.68</v>
      </c>
      <c r="H104">
        <v>45.9</v>
      </c>
      <c r="I104">
        <v>0</v>
      </c>
      <c r="J104">
        <v>123.012</v>
      </c>
      <c r="K104">
        <v>0</v>
      </c>
      <c r="L104" s="3">
        <v>45827</v>
      </c>
      <c r="M104" s="2" t="str">
        <f t="shared" si="1"/>
        <v>06/2025</v>
      </c>
    </row>
    <row r="105" spans="1:13" hidden="1" x14ac:dyDescent="0.35">
      <c r="A105">
        <v>1047151</v>
      </c>
      <c r="B105" t="s">
        <v>233</v>
      </c>
      <c r="C105" t="s">
        <v>234</v>
      </c>
      <c r="D105">
        <v>7921</v>
      </c>
      <c r="E105" t="s">
        <v>235</v>
      </c>
      <c r="F105">
        <v>2.62</v>
      </c>
      <c r="G105">
        <v>2.62</v>
      </c>
      <c r="H105">
        <v>52.9</v>
      </c>
      <c r="I105">
        <v>0</v>
      </c>
      <c r="J105">
        <v>138.59800000000001</v>
      </c>
      <c r="K105">
        <v>0</v>
      </c>
      <c r="L105" s="3">
        <v>45828</v>
      </c>
      <c r="M105" s="2" t="str">
        <f t="shared" si="1"/>
        <v>06/2025</v>
      </c>
    </row>
    <row r="106" spans="1:13" hidden="1" x14ac:dyDescent="0.35">
      <c r="A106">
        <v>1023444</v>
      </c>
      <c r="B106" t="s">
        <v>236</v>
      </c>
      <c r="C106" s="1">
        <v>45828.583333333336</v>
      </c>
      <c r="D106">
        <v>2851</v>
      </c>
      <c r="E106" t="s">
        <v>26</v>
      </c>
      <c r="F106">
        <v>10</v>
      </c>
      <c r="G106">
        <v>10</v>
      </c>
      <c r="H106">
        <v>51.9</v>
      </c>
      <c r="I106">
        <v>0</v>
      </c>
      <c r="J106">
        <v>519</v>
      </c>
      <c r="K106">
        <v>0</v>
      </c>
      <c r="L106" s="3">
        <v>45828</v>
      </c>
      <c r="M106" s="2" t="str">
        <f t="shared" si="1"/>
        <v>06/2025</v>
      </c>
    </row>
    <row r="107" spans="1:13" hidden="1" x14ac:dyDescent="0.35">
      <c r="A107">
        <v>54799</v>
      </c>
      <c r="B107" t="s">
        <v>237</v>
      </c>
      <c r="C107" t="s">
        <v>238</v>
      </c>
      <c r="D107">
        <v>4694</v>
      </c>
      <c r="E107" t="s">
        <v>69</v>
      </c>
      <c r="F107">
        <v>3</v>
      </c>
      <c r="G107">
        <v>1</v>
      </c>
      <c r="H107">
        <v>26.9</v>
      </c>
      <c r="I107">
        <v>2</v>
      </c>
      <c r="J107">
        <v>26.9</v>
      </c>
      <c r="K107">
        <v>53.8</v>
      </c>
      <c r="L107" s="3">
        <v>45831</v>
      </c>
      <c r="M107" s="2" t="str">
        <f t="shared" si="1"/>
        <v>06/2025</v>
      </c>
    </row>
    <row r="108" spans="1:13" hidden="1" x14ac:dyDescent="0.35">
      <c r="A108">
        <v>70016</v>
      </c>
      <c r="B108" t="s">
        <v>239</v>
      </c>
      <c r="C108" t="s">
        <v>240</v>
      </c>
      <c r="D108">
        <v>17268</v>
      </c>
      <c r="E108" t="s">
        <v>217</v>
      </c>
      <c r="F108">
        <v>2</v>
      </c>
      <c r="G108">
        <v>2</v>
      </c>
      <c r="H108">
        <v>69.900000000000006</v>
      </c>
      <c r="I108">
        <v>0</v>
      </c>
      <c r="J108">
        <v>139.80000000000001</v>
      </c>
      <c r="K108">
        <v>0</v>
      </c>
      <c r="L108" s="3">
        <v>45832</v>
      </c>
      <c r="M108" s="2" t="str">
        <f t="shared" si="1"/>
        <v>06/2025</v>
      </c>
    </row>
    <row r="109" spans="1:13" hidden="1" x14ac:dyDescent="0.35">
      <c r="A109">
        <v>70016</v>
      </c>
      <c r="B109" t="s">
        <v>239</v>
      </c>
      <c r="C109" t="s">
        <v>240</v>
      </c>
      <c r="D109">
        <v>2851</v>
      </c>
      <c r="E109" t="s">
        <v>26</v>
      </c>
      <c r="F109">
        <v>4</v>
      </c>
      <c r="G109">
        <v>4</v>
      </c>
      <c r="H109">
        <v>51.9</v>
      </c>
      <c r="I109">
        <v>0</v>
      </c>
      <c r="J109">
        <v>207.6</v>
      </c>
      <c r="K109">
        <v>0</v>
      </c>
      <c r="L109" s="3">
        <v>45832</v>
      </c>
      <c r="M109" s="2" t="str">
        <f t="shared" si="1"/>
        <v>06/2025</v>
      </c>
    </row>
    <row r="110" spans="1:13" hidden="1" x14ac:dyDescent="0.35">
      <c r="A110">
        <v>1012436</v>
      </c>
      <c r="B110" t="s">
        <v>241</v>
      </c>
      <c r="C110" t="s">
        <v>242</v>
      </c>
      <c r="D110">
        <v>8234</v>
      </c>
      <c r="E110" t="s">
        <v>243</v>
      </c>
      <c r="F110">
        <v>1</v>
      </c>
      <c r="G110">
        <v>1</v>
      </c>
      <c r="H110">
        <v>26.9</v>
      </c>
      <c r="I110">
        <v>0</v>
      </c>
      <c r="J110">
        <v>26.9</v>
      </c>
      <c r="K110">
        <v>0</v>
      </c>
      <c r="L110" s="3">
        <v>45833</v>
      </c>
      <c r="M110" s="2" t="str">
        <f t="shared" si="1"/>
        <v>06/2025</v>
      </c>
    </row>
    <row r="111" spans="1:13" hidden="1" x14ac:dyDescent="0.35">
      <c r="A111">
        <v>26751</v>
      </c>
      <c r="B111" t="s">
        <v>244</v>
      </c>
      <c r="C111" t="s">
        <v>245</v>
      </c>
      <c r="D111">
        <v>59938</v>
      </c>
      <c r="E111" t="s">
        <v>246</v>
      </c>
      <c r="F111">
        <v>2.68</v>
      </c>
      <c r="G111">
        <v>2.68</v>
      </c>
      <c r="H111">
        <v>45.9</v>
      </c>
      <c r="I111">
        <v>0</v>
      </c>
      <c r="J111">
        <v>123.012</v>
      </c>
      <c r="K111">
        <v>0</v>
      </c>
      <c r="L111" s="3">
        <v>45833</v>
      </c>
      <c r="M111" s="2" t="str">
        <f t="shared" si="1"/>
        <v>06/2025</v>
      </c>
    </row>
    <row r="112" spans="1:13" hidden="1" x14ac:dyDescent="0.35">
      <c r="A112">
        <v>7920</v>
      </c>
      <c r="B112" t="s">
        <v>247</v>
      </c>
      <c r="C112" t="s">
        <v>248</v>
      </c>
      <c r="D112">
        <v>2682</v>
      </c>
      <c r="E112" t="s">
        <v>29</v>
      </c>
      <c r="F112">
        <v>3</v>
      </c>
      <c r="G112">
        <v>3</v>
      </c>
      <c r="H112">
        <v>82.9</v>
      </c>
      <c r="I112">
        <v>0</v>
      </c>
      <c r="J112">
        <v>248.7</v>
      </c>
      <c r="K112">
        <v>0</v>
      </c>
      <c r="L112" s="3">
        <v>45833</v>
      </c>
      <c r="M112" s="2" t="str">
        <f t="shared" si="1"/>
        <v>06/2025</v>
      </c>
    </row>
    <row r="113" spans="1:13" hidden="1" x14ac:dyDescent="0.35">
      <c r="A113">
        <v>1045122</v>
      </c>
      <c r="B113" t="s">
        <v>249</v>
      </c>
      <c r="C113" t="s">
        <v>250</v>
      </c>
      <c r="D113">
        <v>901</v>
      </c>
      <c r="E113" t="s">
        <v>14</v>
      </c>
      <c r="F113">
        <v>1</v>
      </c>
      <c r="G113">
        <v>1</v>
      </c>
      <c r="H113">
        <v>59.9</v>
      </c>
      <c r="I113">
        <v>0</v>
      </c>
      <c r="J113">
        <v>59.9</v>
      </c>
      <c r="K113">
        <v>0</v>
      </c>
      <c r="L113" s="3">
        <v>45833</v>
      </c>
      <c r="M113" s="2" t="str">
        <f t="shared" si="1"/>
        <v>06/2025</v>
      </c>
    </row>
    <row r="114" spans="1:13" hidden="1" x14ac:dyDescent="0.35">
      <c r="A114">
        <v>1021234</v>
      </c>
      <c r="B114" t="s">
        <v>251</v>
      </c>
      <c r="C114" t="s">
        <v>252</v>
      </c>
      <c r="D114">
        <v>53253</v>
      </c>
      <c r="E114" t="s">
        <v>253</v>
      </c>
      <c r="F114">
        <v>20</v>
      </c>
      <c r="G114">
        <v>20</v>
      </c>
      <c r="H114">
        <v>26.9</v>
      </c>
      <c r="I114">
        <v>0</v>
      </c>
      <c r="J114">
        <v>538</v>
      </c>
      <c r="K114">
        <v>0</v>
      </c>
      <c r="L114" s="3">
        <v>45834</v>
      </c>
      <c r="M114" s="2" t="str">
        <f t="shared" si="1"/>
        <v>06/2025</v>
      </c>
    </row>
    <row r="115" spans="1:13" hidden="1" x14ac:dyDescent="0.35">
      <c r="A115">
        <v>1021234</v>
      </c>
      <c r="B115" t="s">
        <v>251</v>
      </c>
      <c r="C115" t="s">
        <v>252</v>
      </c>
      <c r="D115">
        <v>53253</v>
      </c>
      <c r="E115" t="s">
        <v>253</v>
      </c>
      <c r="F115">
        <v>60</v>
      </c>
      <c r="G115">
        <v>60</v>
      </c>
      <c r="H115">
        <v>26.9</v>
      </c>
      <c r="I115">
        <v>0</v>
      </c>
      <c r="J115">
        <v>1614</v>
      </c>
      <c r="K115">
        <v>0</v>
      </c>
      <c r="L115" s="3">
        <v>45834</v>
      </c>
      <c r="M115" s="2" t="str">
        <f t="shared" si="1"/>
        <v>06/2025</v>
      </c>
    </row>
    <row r="116" spans="1:13" hidden="1" x14ac:dyDescent="0.35">
      <c r="A116">
        <v>1004538</v>
      </c>
      <c r="B116" t="s">
        <v>254</v>
      </c>
      <c r="C116" t="s">
        <v>255</v>
      </c>
      <c r="D116">
        <v>41</v>
      </c>
      <c r="E116" t="s">
        <v>33</v>
      </c>
      <c r="F116">
        <v>1</v>
      </c>
      <c r="G116">
        <v>1</v>
      </c>
      <c r="H116">
        <v>43.9</v>
      </c>
      <c r="I116">
        <v>0</v>
      </c>
      <c r="J116">
        <v>43.9</v>
      </c>
      <c r="K116">
        <v>0</v>
      </c>
      <c r="L116" s="3">
        <v>45834</v>
      </c>
      <c r="M116" s="2" t="str">
        <f t="shared" si="1"/>
        <v>06/2025</v>
      </c>
    </row>
    <row r="117" spans="1:13" hidden="1" x14ac:dyDescent="0.35">
      <c r="A117">
        <v>1004538</v>
      </c>
      <c r="B117" t="s">
        <v>254</v>
      </c>
      <c r="C117" t="s">
        <v>255</v>
      </c>
      <c r="D117">
        <v>14547</v>
      </c>
      <c r="E117" t="s">
        <v>256</v>
      </c>
      <c r="F117">
        <v>1</v>
      </c>
      <c r="G117">
        <v>1</v>
      </c>
      <c r="H117">
        <v>895.49099999999999</v>
      </c>
      <c r="I117">
        <v>0</v>
      </c>
      <c r="J117">
        <v>895.49099999999999</v>
      </c>
      <c r="K117">
        <v>0</v>
      </c>
      <c r="L117" s="3">
        <v>45834</v>
      </c>
      <c r="M117" s="2" t="str">
        <f t="shared" si="1"/>
        <v>06/2025</v>
      </c>
    </row>
    <row r="118" spans="1:13" hidden="1" x14ac:dyDescent="0.35">
      <c r="A118">
        <v>119</v>
      </c>
      <c r="B118" t="s">
        <v>257</v>
      </c>
      <c r="C118" t="s">
        <v>258</v>
      </c>
      <c r="D118">
        <v>8107</v>
      </c>
      <c r="E118" t="s">
        <v>259</v>
      </c>
      <c r="F118">
        <v>2</v>
      </c>
      <c r="G118">
        <v>2</v>
      </c>
      <c r="H118">
        <v>44.9</v>
      </c>
      <c r="I118">
        <v>0</v>
      </c>
      <c r="J118">
        <v>89.8</v>
      </c>
      <c r="K118">
        <v>0</v>
      </c>
      <c r="L118" s="3">
        <v>45835</v>
      </c>
      <c r="M118" s="2" t="str">
        <f t="shared" si="1"/>
        <v>06/2025</v>
      </c>
    </row>
    <row r="119" spans="1:13" hidden="1" x14ac:dyDescent="0.35">
      <c r="A119">
        <v>1048345</v>
      </c>
      <c r="B119" t="s">
        <v>260</v>
      </c>
      <c r="C119" t="s">
        <v>261</v>
      </c>
      <c r="D119">
        <v>34937</v>
      </c>
      <c r="E119" t="s">
        <v>262</v>
      </c>
      <c r="F119">
        <v>2</v>
      </c>
      <c r="G119">
        <v>2</v>
      </c>
      <c r="H119">
        <v>129.9</v>
      </c>
      <c r="I119">
        <v>0</v>
      </c>
      <c r="J119">
        <v>259.8</v>
      </c>
      <c r="K119">
        <v>0</v>
      </c>
      <c r="L119" s="3">
        <v>45838</v>
      </c>
      <c r="M119" s="2" t="str">
        <f t="shared" si="1"/>
        <v>06/2025</v>
      </c>
    </row>
    <row r="120" spans="1:13" x14ac:dyDescent="0.35">
      <c r="A120">
        <v>1036241</v>
      </c>
      <c r="B120" t="s">
        <v>263</v>
      </c>
      <c r="C120" s="1">
        <v>45839.690451388888</v>
      </c>
      <c r="D120">
        <v>47671</v>
      </c>
      <c r="E120" t="s">
        <v>58</v>
      </c>
      <c r="F120">
        <v>1</v>
      </c>
      <c r="G120">
        <v>1</v>
      </c>
      <c r="H120">
        <v>299.89999999999998</v>
      </c>
      <c r="I120">
        <v>0</v>
      </c>
      <c r="J120">
        <v>299.89999999999998</v>
      </c>
      <c r="K120">
        <v>0</v>
      </c>
      <c r="L120" s="3">
        <v>45839</v>
      </c>
      <c r="M120" s="2" t="str">
        <f t="shared" si="1"/>
        <v>07/2025</v>
      </c>
    </row>
    <row r="121" spans="1:13" x14ac:dyDescent="0.35">
      <c r="A121">
        <v>41256</v>
      </c>
      <c r="B121" t="s">
        <v>264</v>
      </c>
      <c r="C121" s="2">
        <v>45840</v>
      </c>
      <c r="D121">
        <v>60502</v>
      </c>
      <c r="E121" t="s">
        <v>265</v>
      </c>
      <c r="F121">
        <v>3</v>
      </c>
      <c r="G121">
        <v>3</v>
      </c>
      <c r="H121">
        <v>1590.9</v>
      </c>
      <c r="I121">
        <v>0</v>
      </c>
      <c r="J121">
        <v>4772.7</v>
      </c>
      <c r="K121">
        <v>0</v>
      </c>
      <c r="L121" s="3">
        <v>45840</v>
      </c>
      <c r="M121" s="2" t="str">
        <f t="shared" si="1"/>
        <v>07/2025</v>
      </c>
    </row>
    <row r="122" spans="1:13" x14ac:dyDescent="0.35">
      <c r="A122">
        <v>1048669</v>
      </c>
      <c r="B122" t="s">
        <v>266</v>
      </c>
      <c r="C122" t="s">
        <v>267</v>
      </c>
      <c r="D122">
        <v>239</v>
      </c>
      <c r="E122" t="s">
        <v>268</v>
      </c>
      <c r="F122">
        <v>4</v>
      </c>
      <c r="G122">
        <v>4</v>
      </c>
      <c r="H122">
        <v>26.9</v>
      </c>
      <c r="I122">
        <v>0</v>
      </c>
      <c r="J122">
        <v>107.6</v>
      </c>
      <c r="K122">
        <v>0</v>
      </c>
      <c r="L122" s="3">
        <v>45840</v>
      </c>
      <c r="M122" s="2" t="str">
        <f t="shared" si="1"/>
        <v>07/2025</v>
      </c>
    </row>
    <row r="123" spans="1:13" x14ac:dyDescent="0.35">
      <c r="A123">
        <v>1045962</v>
      </c>
      <c r="B123" t="s">
        <v>269</v>
      </c>
      <c r="C123" t="s">
        <v>270</v>
      </c>
      <c r="D123">
        <v>15682</v>
      </c>
      <c r="E123" t="s">
        <v>271</v>
      </c>
      <c r="F123">
        <v>4.46</v>
      </c>
      <c r="G123">
        <v>4.46</v>
      </c>
      <c r="H123">
        <v>46.9</v>
      </c>
      <c r="I123">
        <v>0</v>
      </c>
      <c r="J123">
        <v>209.17400000000001</v>
      </c>
      <c r="K123">
        <v>0</v>
      </c>
      <c r="L123" s="3">
        <v>45840</v>
      </c>
      <c r="M123" s="2" t="str">
        <f t="shared" si="1"/>
        <v>07/2025</v>
      </c>
    </row>
    <row r="124" spans="1:13" x14ac:dyDescent="0.35">
      <c r="A124">
        <v>1048608</v>
      </c>
      <c r="B124" t="s">
        <v>272</v>
      </c>
      <c r="C124" t="s">
        <v>273</v>
      </c>
      <c r="D124">
        <v>51364</v>
      </c>
      <c r="E124" t="s">
        <v>274</v>
      </c>
      <c r="F124">
        <v>2.0299999999999998</v>
      </c>
      <c r="G124">
        <v>2.0299999999999998</v>
      </c>
      <c r="H124">
        <v>73.900000000000006</v>
      </c>
      <c r="I124">
        <v>0</v>
      </c>
      <c r="J124">
        <v>150.017</v>
      </c>
      <c r="K124">
        <v>0</v>
      </c>
      <c r="L124" s="3">
        <v>45840</v>
      </c>
      <c r="M124" s="2" t="str">
        <f t="shared" si="1"/>
        <v>07/2025</v>
      </c>
    </row>
    <row r="125" spans="1:13" x14ac:dyDescent="0.35">
      <c r="A125">
        <v>1048462</v>
      </c>
      <c r="B125" t="s">
        <v>275</v>
      </c>
      <c r="C125" s="1">
        <v>45842.333333333336</v>
      </c>
      <c r="D125">
        <v>31708</v>
      </c>
      <c r="E125" t="s">
        <v>276</v>
      </c>
      <c r="F125">
        <v>2</v>
      </c>
      <c r="G125">
        <v>2</v>
      </c>
      <c r="H125">
        <v>83.9</v>
      </c>
      <c r="I125">
        <v>0</v>
      </c>
      <c r="J125">
        <v>167.8</v>
      </c>
      <c r="K125">
        <v>0</v>
      </c>
      <c r="L125" s="3">
        <v>45842</v>
      </c>
      <c r="M125" s="2" t="str">
        <f t="shared" si="1"/>
        <v>07/2025</v>
      </c>
    </row>
    <row r="126" spans="1:13" x14ac:dyDescent="0.35">
      <c r="A126">
        <v>1047208</v>
      </c>
      <c r="B126" t="s">
        <v>277</v>
      </c>
      <c r="C126" s="1">
        <v>45842.43959490741</v>
      </c>
      <c r="D126">
        <v>8270</v>
      </c>
      <c r="E126" t="s">
        <v>278</v>
      </c>
      <c r="F126">
        <v>1</v>
      </c>
      <c r="G126">
        <v>1</v>
      </c>
      <c r="H126">
        <v>413.9</v>
      </c>
      <c r="I126">
        <v>0</v>
      </c>
      <c r="J126">
        <v>413.9</v>
      </c>
      <c r="K126">
        <v>0</v>
      </c>
      <c r="L126" s="3">
        <v>45842</v>
      </c>
      <c r="M126" s="2" t="str">
        <f t="shared" si="1"/>
        <v>07/2025</v>
      </c>
    </row>
    <row r="127" spans="1:13" x14ac:dyDescent="0.35">
      <c r="A127">
        <v>1047864</v>
      </c>
      <c r="B127" t="s">
        <v>279</v>
      </c>
      <c r="C127" t="s">
        <v>280</v>
      </c>
      <c r="D127">
        <v>5458</v>
      </c>
      <c r="E127" t="s">
        <v>281</v>
      </c>
      <c r="F127">
        <v>4</v>
      </c>
      <c r="G127">
        <v>4</v>
      </c>
      <c r="H127">
        <v>44.9</v>
      </c>
      <c r="I127">
        <v>0</v>
      </c>
      <c r="J127">
        <v>179.6</v>
      </c>
      <c r="K127">
        <v>0</v>
      </c>
      <c r="L127" s="3">
        <v>45846</v>
      </c>
      <c r="M127" s="2" t="str">
        <f t="shared" si="1"/>
        <v>07/2025</v>
      </c>
    </row>
    <row r="128" spans="1:13" x14ac:dyDescent="0.35">
      <c r="A128">
        <v>54799</v>
      </c>
      <c r="B128" t="s">
        <v>237</v>
      </c>
      <c r="C128" t="s">
        <v>282</v>
      </c>
      <c r="D128">
        <v>38</v>
      </c>
      <c r="E128" t="s">
        <v>188</v>
      </c>
      <c r="F128">
        <v>1</v>
      </c>
      <c r="G128">
        <v>1</v>
      </c>
      <c r="H128">
        <v>18.899999999999999</v>
      </c>
      <c r="I128">
        <v>0</v>
      </c>
      <c r="J128">
        <v>18.899999999999999</v>
      </c>
      <c r="K128">
        <v>0</v>
      </c>
      <c r="L128" s="3">
        <v>45847</v>
      </c>
      <c r="M128" s="2" t="str">
        <f t="shared" si="1"/>
        <v>07/2025</v>
      </c>
    </row>
    <row r="129" spans="1:13" x14ac:dyDescent="0.35">
      <c r="A129">
        <v>54799</v>
      </c>
      <c r="B129" t="s">
        <v>237</v>
      </c>
      <c r="C129" t="s">
        <v>282</v>
      </c>
      <c r="D129">
        <v>39</v>
      </c>
      <c r="E129" t="s">
        <v>108</v>
      </c>
      <c r="F129">
        <v>1</v>
      </c>
      <c r="G129">
        <v>1</v>
      </c>
      <c r="H129">
        <v>18.899999999999999</v>
      </c>
      <c r="I129">
        <v>0</v>
      </c>
      <c r="J129">
        <v>18.899999999999999</v>
      </c>
      <c r="K129">
        <v>0</v>
      </c>
      <c r="L129" s="3">
        <v>45847</v>
      </c>
      <c r="M129" s="2" t="str">
        <f t="shared" si="1"/>
        <v>07/2025</v>
      </c>
    </row>
    <row r="130" spans="1:13" x14ac:dyDescent="0.35">
      <c r="A130">
        <v>1041027</v>
      </c>
      <c r="B130" t="s">
        <v>283</v>
      </c>
      <c r="C130" t="s">
        <v>284</v>
      </c>
      <c r="D130">
        <v>40595</v>
      </c>
      <c r="E130" t="s">
        <v>48</v>
      </c>
      <c r="F130">
        <v>3</v>
      </c>
      <c r="G130">
        <v>3</v>
      </c>
      <c r="H130">
        <v>29.9</v>
      </c>
      <c r="I130">
        <v>0</v>
      </c>
      <c r="J130">
        <v>89.7</v>
      </c>
      <c r="K130">
        <v>0</v>
      </c>
      <c r="L130" s="3">
        <v>45847</v>
      </c>
      <c r="M130" s="2" t="str">
        <f t="shared" si="1"/>
        <v>07/2025</v>
      </c>
    </row>
    <row r="131" spans="1:13" x14ac:dyDescent="0.35">
      <c r="A131">
        <v>1041027</v>
      </c>
      <c r="B131" t="s">
        <v>283</v>
      </c>
      <c r="C131" t="s">
        <v>284</v>
      </c>
      <c r="D131">
        <v>39</v>
      </c>
      <c r="E131" t="s">
        <v>108</v>
      </c>
      <c r="F131">
        <v>3</v>
      </c>
      <c r="G131">
        <v>3</v>
      </c>
      <c r="H131">
        <v>18.899999999999999</v>
      </c>
      <c r="I131">
        <v>0</v>
      </c>
      <c r="J131">
        <v>56.7</v>
      </c>
      <c r="K131">
        <v>0</v>
      </c>
      <c r="L131" s="3">
        <v>45847</v>
      </c>
      <c r="M131" s="2" t="str">
        <f t="shared" ref="M131:M194" si="2">TEXT(L131,"mm")&amp;"/"&amp;YEAR(L131)</f>
        <v>07/2025</v>
      </c>
    </row>
    <row r="132" spans="1:13" x14ac:dyDescent="0.35">
      <c r="A132">
        <v>1010262</v>
      </c>
      <c r="B132" t="s">
        <v>285</v>
      </c>
      <c r="C132" t="s">
        <v>286</v>
      </c>
      <c r="D132">
        <v>13984</v>
      </c>
      <c r="E132" t="s">
        <v>17</v>
      </c>
      <c r="F132">
        <v>1</v>
      </c>
      <c r="G132">
        <v>1</v>
      </c>
      <c r="H132">
        <v>109.9</v>
      </c>
      <c r="I132">
        <v>0</v>
      </c>
      <c r="J132">
        <v>109.9</v>
      </c>
      <c r="K132">
        <v>0</v>
      </c>
      <c r="L132" s="3">
        <v>45847</v>
      </c>
      <c r="M132" s="2" t="str">
        <f t="shared" si="2"/>
        <v>07/2025</v>
      </c>
    </row>
    <row r="133" spans="1:13" x14ac:dyDescent="0.35">
      <c r="A133">
        <v>47787</v>
      </c>
      <c r="B133" t="s">
        <v>287</v>
      </c>
      <c r="C133" t="s">
        <v>288</v>
      </c>
      <c r="D133">
        <v>17268</v>
      </c>
      <c r="E133" t="s">
        <v>217</v>
      </c>
      <c r="F133">
        <v>4</v>
      </c>
      <c r="G133">
        <v>4</v>
      </c>
      <c r="H133">
        <v>69.900000000000006</v>
      </c>
      <c r="I133">
        <v>0</v>
      </c>
      <c r="J133">
        <v>279.60000000000002</v>
      </c>
      <c r="K133">
        <v>0</v>
      </c>
      <c r="L133" s="3">
        <v>45848</v>
      </c>
      <c r="M133" s="2" t="str">
        <f t="shared" si="2"/>
        <v>07/2025</v>
      </c>
    </row>
    <row r="134" spans="1:13" x14ac:dyDescent="0.35">
      <c r="A134">
        <v>11068</v>
      </c>
      <c r="B134" t="s">
        <v>289</v>
      </c>
      <c r="C134" t="s">
        <v>290</v>
      </c>
      <c r="D134">
        <v>54</v>
      </c>
      <c r="E134" t="s">
        <v>51</v>
      </c>
      <c r="F134">
        <v>1</v>
      </c>
      <c r="G134">
        <v>1</v>
      </c>
      <c r="H134">
        <v>105.9</v>
      </c>
      <c r="I134">
        <v>0</v>
      </c>
      <c r="J134">
        <v>105.9</v>
      </c>
      <c r="K134">
        <v>0</v>
      </c>
      <c r="L134" s="3">
        <v>45848</v>
      </c>
      <c r="M134" s="2" t="str">
        <f t="shared" si="2"/>
        <v>07/2025</v>
      </c>
    </row>
    <row r="135" spans="1:13" x14ac:dyDescent="0.35">
      <c r="A135">
        <v>1021839</v>
      </c>
      <c r="B135" t="s">
        <v>291</v>
      </c>
      <c r="C135" t="s">
        <v>292</v>
      </c>
      <c r="D135">
        <v>40595</v>
      </c>
      <c r="E135" t="s">
        <v>48</v>
      </c>
      <c r="F135">
        <v>4</v>
      </c>
      <c r="G135">
        <v>4</v>
      </c>
      <c r="H135">
        <v>29.9</v>
      </c>
      <c r="I135">
        <v>0</v>
      </c>
      <c r="J135">
        <v>119.6</v>
      </c>
      <c r="K135">
        <v>0</v>
      </c>
      <c r="L135" s="3">
        <v>45849</v>
      </c>
      <c r="M135" s="2" t="str">
        <f t="shared" si="2"/>
        <v>07/2025</v>
      </c>
    </row>
    <row r="136" spans="1:13" x14ac:dyDescent="0.35">
      <c r="A136">
        <v>1042734</v>
      </c>
      <c r="B136" t="s">
        <v>293</v>
      </c>
      <c r="C136" t="s">
        <v>294</v>
      </c>
      <c r="D136">
        <v>51441</v>
      </c>
      <c r="E136" t="s">
        <v>295</v>
      </c>
      <c r="F136">
        <v>1.97</v>
      </c>
      <c r="G136">
        <v>1.97</v>
      </c>
      <c r="H136">
        <v>59.9</v>
      </c>
      <c r="I136">
        <v>0</v>
      </c>
      <c r="J136">
        <v>118.003</v>
      </c>
      <c r="K136">
        <v>0</v>
      </c>
      <c r="L136" s="3">
        <v>45849</v>
      </c>
      <c r="M136" s="2" t="str">
        <f t="shared" si="2"/>
        <v>07/2025</v>
      </c>
    </row>
    <row r="137" spans="1:13" x14ac:dyDescent="0.35">
      <c r="A137">
        <v>99143</v>
      </c>
      <c r="B137" t="s">
        <v>296</v>
      </c>
      <c r="C137" t="s">
        <v>297</v>
      </c>
      <c r="D137">
        <v>40595</v>
      </c>
      <c r="E137" t="s">
        <v>48</v>
      </c>
      <c r="F137">
        <v>1</v>
      </c>
      <c r="G137">
        <v>1</v>
      </c>
      <c r="H137">
        <v>29.9</v>
      </c>
      <c r="I137">
        <v>0</v>
      </c>
      <c r="J137">
        <v>29.9</v>
      </c>
      <c r="K137">
        <v>0</v>
      </c>
      <c r="L137" s="3">
        <v>45853</v>
      </c>
      <c r="M137" s="2" t="str">
        <f t="shared" si="2"/>
        <v>07/2025</v>
      </c>
    </row>
    <row r="138" spans="1:13" x14ac:dyDescent="0.35">
      <c r="A138">
        <v>99143</v>
      </c>
      <c r="B138" t="s">
        <v>296</v>
      </c>
      <c r="C138" t="s">
        <v>297</v>
      </c>
      <c r="D138">
        <v>49099</v>
      </c>
      <c r="E138" t="s">
        <v>298</v>
      </c>
      <c r="F138">
        <v>2.71</v>
      </c>
      <c r="G138">
        <v>2.71</v>
      </c>
      <c r="H138">
        <v>51.9</v>
      </c>
      <c r="I138">
        <v>0</v>
      </c>
      <c r="J138">
        <v>140.649</v>
      </c>
      <c r="K138">
        <v>0</v>
      </c>
      <c r="L138" s="3">
        <v>45853</v>
      </c>
      <c r="M138" s="2" t="str">
        <f t="shared" si="2"/>
        <v>07/2025</v>
      </c>
    </row>
    <row r="139" spans="1:13" x14ac:dyDescent="0.35">
      <c r="A139">
        <v>1041988</v>
      </c>
      <c r="B139" t="s">
        <v>299</v>
      </c>
      <c r="C139" t="s">
        <v>300</v>
      </c>
      <c r="D139">
        <v>40595</v>
      </c>
      <c r="E139" t="s">
        <v>48</v>
      </c>
      <c r="F139">
        <v>2</v>
      </c>
      <c r="G139">
        <v>2</v>
      </c>
      <c r="H139">
        <v>29.9</v>
      </c>
      <c r="I139">
        <v>0</v>
      </c>
      <c r="J139">
        <v>59.8</v>
      </c>
      <c r="K139">
        <v>0</v>
      </c>
      <c r="L139" s="3">
        <v>45854</v>
      </c>
      <c r="M139" s="2" t="str">
        <f t="shared" si="2"/>
        <v>07/2025</v>
      </c>
    </row>
    <row r="140" spans="1:13" x14ac:dyDescent="0.35">
      <c r="A140">
        <v>1041988</v>
      </c>
      <c r="B140" t="s">
        <v>299</v>
      </c>
      <c r="C140" t="s">
        <v>300</v>
      </c>
      <c r="D140">
        <v>37</v>
      </c>
      <c r="E140" t="s">
        <v>45</v>
      </c>
      <c r="F140">
        <v>2</v>
      </c>
      <c r="G140">
        <v>2</v>
      </c>
      <c r="H140">
        <v>18.899999999999999</v>
      </c>
      <c r="I140">
        <v>0</v>
      </c>
      <c r="J140">
        <v>37.799999999999997</v>
      </c>
      <c r="K140">
        <v>0</v>
      </c>
      <c r="L140" s="3">
        <v>45854</v>
      </c>
      <c r="M140" s="2" t="str">
        <f t="shared" si="2"/>
        <v>07/2025</v>
      </c>
    </row>
    <row r="141" spans="1:13" x14ac:dyDescent="0.35">
      <c r="A141">
        <v>1021790</v>
      </c>
      <c r="B141" t="s">
        <v>301</v>
      </c>
      <c r="C141" t="s">
        <v>302</v>
      </c>
      <c r="D141">
        <v>14684</v>
      </c>
      <c r="E141" t="s">
        <v>303</v>
      </c>
      <c r="F141">
        <v>2.74</v>
      </c>
      <c r="G141">
        <v>2.74</v>
      </c>
      <c r="H141">
        <v>334.9</v>
      </c>
      <c r="I141">
        <v>0</v>
      </c>
      <c r="J141">
        <v>917.62599999999998</v>
      </c>
      <c r="K141">
        <v>0</v>
      </c>
      <c r="L141" s="3">
        <v>45856</v>
      </c>
      <c r="M141" s="2" t="str">
        <f t="shared" si="2"/>
        <v>07/2025</v>
      </c>
    </row>
    <row r="142" spans="1:13" x14ac:dyDescent="0.35">
      <c r="A142">
        <v>59032</v>
      </c>
      <c r="B142" t="s">
        <v>304</v>
      </c>
      <c r="C142" t="s">
        <v>305</v>
      </c>
      <c r="D142">
        <v>40474</v>
      </c>
      <c r="E142" t="s">
        <v>98</v>
      </c>
      <c r="F142">
        <v>5</v>
      </c>
      <c r="G142">
        <v>5</v>
      </c>
      <c r="H142">
        <v>24.9</v>
      </c>
      <c r="I142">
        <v>0</v>
      </c>
      <c r="J142">
        <v>124.5</v>
      </c>
      <c r="K142">
        <v>0</v>
      </c>
      <c r="L142" s="3">
        <v>45856</v>
      </c>
      <c r="M142" s="2" t="str">
        <f t="shared" si="2"/>
        <v>07/2025</v>
      </c>
    </row>
    <row r="143" spans="1:13" x14ac:dyDescent="0.35">
      <c r="A143">
        <v>1048893</v>
      </c>
      <c r="B143" t="s">
        <v>306</v>
      </c>
      <c r="C143" t="s">
        <v>307</v>
      </c>
      <c r="D143">
        <v>48002</v>
      </c>
      <c r="E143" t="s">
        <v>308</v>
      </c>
      <c r="F143">
        <v>2.2999999999999998</v>
      </c>
      <c r="G143">
        <v>2.2999999999999998</v>
      </c>
      <c r="H143">
        <v>40.9</v>
      </c>
      <c r="I143">
        <v>0</v>
      </c>
      <c r="J143">
        <v>94.07</v>
      </c>
      <c r="K143">
        <v>0</v>
      </c>
      <c r="L143" s="3">
        <v>45859</v>
      </c>
      <c r="M143" s="2" t="str">
        <f t="shared" si="2"/>
        <v>07/2025</v>
      </c>
    </row>
    <row r="144" spans="1:13" x14ac:dyDescent="0.35">
      <c r="A144">
        <v>1033717</v>
      </c>
      <c r="B144" t="s">
        <v>309</v>
      </c>
      <c r="C144" t="s">
        <v>310</v>
      </c>
      <c r="D144">
        <v>13983</v>
      </c>
      <c r="E144" t="s">
        <v>311</v>
      </c>
      <c r="F144">
        <v>2</v>
      </c>
      <c r="G144">
        <v>2</v>
      </c>
      <c r="H144">
        <v>169.9</v>
      </c>
      <c r="I144">
        <v>0</v>
      </c>
      <c r="J144">
        <v>339.8</v>
      </c>
      <c r="K144">
        <v>0</v>
      </c>
      <c r="L144" s="3">
        <v>45859</v>
      </c>
      <c r="M144" s="2" t="str">
        <f t="shared" si="2"/>
        <v>07/2025</v>
      </c>
    </row>
    <row r="145" spans="1:13" x14ac:dyDescent="0.35">
      <c r="A145">
        <v>789</v>
      </c>
      <c r="B145" t="s">
        <v>312</v>
      </c>
      <c r="C145" t="s">
        <v>313</v>
      </c>
      <c r="D145">
        <v>40595</v>
      </c>
      <c r="E145" t="s">
        <v>48</v>
      </c>
      <c r="F145">
        <v>6</v>
      </c>
      <c r="G145">
        <v>6</v>
      </c>
      <c r="H145">
        <v>29.9</v>
      </c>
      <c r="I145">
        <v>0</v>
      </c>
      <c r="J145">
        <v>179.4</v>
      </c>
      <c r="K145">
        <v>0</v>
      </c>
      <c r="L145" s="3">
        <v>45861</v>
      </c>
      <c r="M145" s="2" t="str">
        <f t="shared" si="2"/>
        <v>07/2025</v>
      </c>
    </row>
    <row r="146" spans="1:13" x14ac:dyDescent="0.35">
      <c r="A146">
        <v>789</v>
      </c>
      <c r="B146" t="s">
        <v>312</v>
      </c>
      <c r="C146" t="s">
        <v>313</v>
      </c>
      <c r="D146">
        <v>8127</v>
      </c>
      <c r="E146" t="s">
        <v>314</v>
      </c>
      <c r="F146">
        <v>16.100000000000001</v>
      </c>
      <c r="G146">
        <v>16.100000000000001</v>
      </c>
      <c r="H146">
        <v>43.9</v>
      </c>
      <c r="I146">
        <v>0</v>
      </c>
      <c r="J146">
        <v>706.79</v>
      </c>
      <c r="K146">
        <v>0</v>
      </c>
      <c r="L146" s="3">
        <v>45861</v>
      </c>
      <c r="M146" s="2" t="str">
        <f t="shared" si="2"/>
        <v>07/2025</v>
      </c>
    </row>
    <row r="147" spans="1:13" x14ac:dyDescent="0.35">
      <c r="A147">
        <v>789</v>
      </c>
      <c r="B147" t="s">
        <v>312</v>
      </c>
      <c r="C147" t="s">
        <v>313</v>
      </c>
      <c r="D147">
        <v>38</v>
      </c>
      <c r="E147" t="s">
        <v>188</v>
      </c>
      <c r="F147">
        <v>2</v>
      </c>
      <c r="G147">
        <v>2</v>
      </c>
      <c r="H147">
        <v>18.899999999999999</v>
      </c>
      <c r="I147">
        <v>0</v>
      </c>
      <c r="J147">
        <v>37.799999999999997</v>
      </c>
      <c r="K147">
        <v>0</v>
      </c>
      <c r="L147" s="3">
        <v>45861</v>
      </c>
      <c r="M147" s="2" t="str">
        <f t="shared" si="2"/>
        <v>07/2025</v>
      </c>
    </row>
    <row r="148" spans="1:13" x14ac:dyDescent="0.35">
      <c r="A148">
        <v>1049382</v>
      </c>
      <c r="B148" t="s">
        <v>315</v>
      </c>
      <c r="C148" t="s">
        <v>316</v>
      </c>
      <c r="D148">
        <v>29497</v>
      </c>
      <c r="E148" t="s">
        <v>317</v>
      </c>
      <c r="F148">
        <v>1</v>
      </c>
      <c r="G148">
        <v>1</v>
      </c>
      <c r="H148">
        <v>302.89999999999998</v>
      </c>
      <c r="I148">
        <v>0</v>
      </c>
      <c r="J148">
        <v>302.89999999999998</v>
      </c>
      <c r="K148">
        <v>0</v>
      </c>
      <c r="L148" s="3">
        <v>45868</v>
      </c>
      <c r="M148" s="2" t="str">
        <f t="shared" si="2"/>
        <v>07/2025</v>
      </c>
    </row>
    <row r="149" spans="1:13" x14ac:dyDescent="0.35">
      <c r="A149">
        <v>2530</v>
      </c>
      <c r="B149" t="s">
        <v>318</v>
      </c>
      <c r="C149" t="s">
        <v>319</v>
      </c>
      <c r="D149">
        <v>54</v>
      </c>
      <c r="E149" t="s">
        <v>51</v>
      </c>
      <c r="F149">
        <v>3</v>
      </c>
      <c r="G149">
        <v>3</v>
      </c>
      <c r="H149">
        <v>105.9</v>
      </c>
      <c r="I149">
        <v>0</v>
      </c>
      <c r="J149">
        <v>317.7</v>
      </c>
      <c r="K149">
        <v>0</v>
      </c>
      <c r="L149" s="3">
        <v>45868</v>
      </c>
      <c r="M149" s="2" t="str">
        <f t="shared" si="2"/>
        <v>07/2025</v>
      </c>
    </row>
    <row r="150" spans="1:13" x14ac:dyDescent="0.35">
      <c r="A150">
        <v>2530</v>
      </c>
      <c r="B150" t="s">
        <v>318</v>
      </c>
      <c r="C150" t="s">
        <v>319</v>
      </c>
      <c r="D150">
        <v>39028</v>
      </c>
      <c r="E150" t="s">
        <v>320</v>
      </c>
      <c r="F150">
        <v>5.24</v>
      </c>
      <c r="G150">
        <v>5.24</v>
      </c>
      <c r="H150">
        <v>44.9</v>
      </c>
      <c r="I150">
        <v>0</v>
      </c>
      <c r="J150">
        <v>235.27600000000001</v>
      </c>
      <c r="K150">
        <v>0</v>
      </c>
      <c r="L150" s="3">
        <v>45868</v>
      </c>
      <c r="M150" s="2" t="str">
        <f t="shared" si="2"/>
        <v>07/2025</v>
      </c>
    </row>
    <row r="151" spans="1:13" x14ac:dyDescent="0.35">
      <c r="A151">
        <v>24693</v>
      </c>
      <c r="B151" t="s">
        <v>321</v>
      </c>
      <c r="C151" t="s">
        <v>322</v>
      </c>
      <c r="D151">
        <v>41443</v>
      </c>
      <c r="E151" t="s">
        <v>323</v>
      </c>
      <c r="F151">
        <v>10.8</v>
      </c>
      <c r="G151">
        <v>10.8</v>
      </c>
      <c r="H151">
        <v>89.9</v>
      </c>
      <c r="I151">
        <v>0</v>
      </c>
      <c r="J151">
        <v>970.92</v>
      </c>
      <c r="K151">
        <v>0</v>
      </c>
      <c r="L151" s="3">
        <v>45869</v>
      </c>
      <c r="M151" s="2" t="str">
        <f t="shared" si="2"/>
        <v>07/2025</v>
      </c>
    </row>
    <row r="152" spans="1:13" x14ac:dyDescent="0.35">
      <c r="A152">
        <v>24693</v>
      </c>
      <c r="B152" t="s">
        <v>321</v>
      </c>
      <c r="C152" t="s">
        <v>322</v>
      </c>
      <c r="D152">
        <v>60306</v>
      </c>
      <c r="E152" t="s">
        <v>324</v>
      </c>
      <c r="F152">
        <v>43.74</v>
      </c>
      <c r="G152">
        <v>43.74</v>
      </c>
      <c r="H152">
        <v>169.9</v>
      </c>
      <c r="I152">
        <v>0</v>
      </c>
      <c r="J152">
        <v>7431.4260000000004</v>
      </c>
      <c r="K152">
        <v>0</v>
      </c>
      <c r="L152" s="3">
        <v>45869</v>
      </c>
      <c r="M152" s="2" t="str">
        <f t="shared" si="2"/>
        <v>07/2025</v>
      </c>
    </row>
    <row r="153" spans="1:13" hidden="1" x14ac:dyDescent="0.35">
      <c r="A153">
        <v>1026632</v>
      </c>
      <c r="B153" t="s">
        <v>325</v>
      </c>
      <c r="C153" t="s">
        <v>326</v>
      </c>
      <c r="D153">
        <v>48002</v>
      </c>
      <c r="E153" t="s">
        <v>308</v>
      </c>
      <c r="F153">
        <v>4.5999999999999996</v>
      </c>
      <c r="G153">
        <v>4.5999999999999996</v>
      </c>
      <c r="H153">
        <v>40.9</v>
      </c>
      <c r="I153">
        <v>0</v>
      </c>
      <c r="J153">
        <v>188.14</v>
      </c>
      <c r="K153">
        <v>0</v>
      </c>
      <c r="L153" s="3">
        <v>45870</v>
      </c>
      <c r="M153" s="2" t="str">
        <f t="shared" si="2"/>
        <v>08/2025</v>
      </c>
    </row>
    <row r="154" spans="1:13" hidden="1" x14ac:dyDescent="0.35">
      <c r="A154">
        <v>1026632</v>
      </c>
      <c r="B154" t="s">
        <v>325</v>
      </c>
      <c r="C154" t="s">
        <v>326</v>
      </c>
      <c r="D154">
        <v>48002</v>
      </c>
      <c r="E154" t="s">
        <v>308</v>
      </c>
      <c r="F154">
        <v>2.2999999999999998</v>
      </c>
      <c r="G154">
        <v>2.2999999999999998</v>
      </c>
      <c r="H154">
        <v>40.9</v>
      </c>
      <c r="I154">
        <v>0</v>
      </c>
      <c r="J154">
        <v>94.07</v>
      </c>
      <c r="K154">
        <v>0</v>
      </c>
      <c r="L154" s="3">
        <v>45870</v>
      </c>
      <c r="M154" s="2" t="str">
        <f t="shared" si="2"/>
        <v>08/2025</v>
      </c>
    </row>
    <row r="155" spans="1:13" hidden="1" x14ac:dyDescent="0.35">
      <c r="A155">
        <v>1019423</v>
      </c>
      <c r="B155" t="s">
        <v>327</v>
      </c>
      <c r="C155" t="s">
        <v>328</v>
      </c>
      <c r="D155">
        <v>50518</v>
      </c>
      <c r="E155" t="s">
        <v>329</v>
      </c>
      <c r="F155">
        <v>2.31</v>
      </c>
      <c r="G155">
        <v>2.31</v>
      </c>
      <c r="H155">
        <v>104.9</v>
      </c>
      <c r="I155">
        <v>0</v>
      </c>
      <c r="J155">
        <v>242.31899999999999</v>
      </c>
      <c r="K155">
        <v>0</v>
      </c>
      <c r="L155" s="3">
        <v>45874</v>
      </c>
      <c r="M155" s="2" t="str">
        <f t="shared" si="2"/>
        <v>08/2025</v>
      </c>
    </row>
    <row r="156" spans="1:13" hidden="1" x14ac:dyDescent="0.35">
      <c r="A156">
        <v>1027843</v>
      </c>
      <c r="B156" t="s">
        <v>330</v>
      </c>
      <c r="C156" t="s">
        <v>331</v>
      </c>
      <c r="D156">
        <v>60572</v>
      </c>
      <c r="E156" t="s">
        <v>332</v>
      </c>
      <c r="F156">
        <v>2.79</v>
      </c>
      <c r="G156">
        <v>2.79</v>
      </c>
      <c r="H156">
        <v>49.9</v>
      </c>
      <c r="I156">
        <v>0</v>
      </c>
      <c r="J156">
        <v>139.221</v>
      </c>
      <c r="K156">
        <v>0</v>
      </c>
      <c r="L156" s="3">
        <v>45875</v>
      </c>
      <c r="M156" s="2" t="str">
        <f t="shared" si="2"/>
        <v>08/2025</v>
      </c>
    </row>
    <row r="157" spans="1:13" hidden="1" x14ac:dyDescent="0.35">
      <c r="A157">
        <v>1035893</v>
      </c>
      <c r="B157" t="s">
        <v>333</v>
      </c>
      <c r="C157" t="s">
        <v>334</v>
      </c>
      <c r="D157">
        <v>64933</v>
      </c>
      <c r="E157" t="s">
        <v>335</v>
      </c>
      <c r="F157">
        <v>1</v>
      </c>
      <c r="G157">
        <v>1</v>
      </c>
      <c r="H157">
        <v>80.86</v>
      </c>
      <c r="I157">
        <v>0</v>
      </c>
      <c r="J157">
        <v>80.86</v>
      </c>
      <c r="K157">
        <v>0</v>
      </c>
      <c r="L157" s="3">
        <v>45875</v>
      </c>
      <c r="M157" s="2" t="str">
        <f t="shared" si="2"/>
        <v>08/2025</v>
      </c>
    </row>
    <row r="158" spans="1:13" hidden="1" x14ac:dyDescent="0.35">
      <c r="A158">
        <v>1008968</v>
      </c>
      <c r="B158" t="s">
        <v>336</v>
      </c>
      <c r="C158" t="s">
        <v>337</v>
      </c>
      <c r="D158">
        <v>4691</v>
      </c>
      <c r="E158" t="s">
        <v>338</v>
      </c>
      <c r="F158">
        <v>1</v>
      </c>
      <c r="G158">
        <v>1</v>
      </c>
      <c r="H158">
        <v>51.9</v>
      </c>
      <c r="I158">
        <v>0</v>
      </c>
      <c r="J158">
        <v>51.9</v>
      </c>
      <c r="K158">
        <v>0</v>
      </c>
      <c r="L158" s="3">
        <v>45875</v>
      </c>
      <c r="M158" s="2" t="str">
        <f t="shared" si="2"/>
        <v>08/2025</v>
      </c>
    </row>
    <row r="159" spans="1:13" hidden="1" x14ac:dyDescent="0.35">
      <c r="A159">
        <v>1031312</v>
      </c>
      <c r="B159" t="s">
        <v>339</v>
      </c>
      <c r="C159" t="s">
        <v>340</v>
      </c>
      <c r="D159">
        <v>60267</v>
      </c>
      <c r="E159" t="s">
        <v>341</v>
      </c>
      <c r="F159">
        <v>1</v>
      </c>
      <c r="G159">
        <v>1</v>
      </c>
      <c r="H159">
        <v>20.9</v>
      </c>
      <c r="I159">
        <v>0</v>
      </c>
      <c r="J159">
        <v>20.9</v>
      </c>
      <c r="K159">
        <v>0</v>
      </c>
      <c r="L159" s="3">
        <v>45875</v>
      </c>
      <c r="M159" s="2" t="str">
        <f t="shared" si="2"/>
        <v>08/2025</v>
      </c>
    </row>
    <row r="160" spans="1:13" hidden="1" x14ac:dyDescent="0.35">
      <c r="A160">
        <v>1049170</v>
      </c>
      <c r="B160" t="s">
        <v>342</v>
      </c>
      <c r="C160" s="1">
        <v>45876.365069444444</v>
      </c>
      <c r="D160">
        <v>40595</v>
      </c>
      <c r="E160" t="s">
        <v>48</v>
      </c>
      <c r="F160">
        <v>3</v>
      </c>
      <c r="G160">
        <v>3</v>
      </c>
      <c r="H160">
        <v>29.9</v>
      </c>
      <c r="I160">
        <v>0</v>
      </c>
      <c r="J160">
        <v>89.7</v>
      </c>
      <c r="K160">
        <v>0</v>
      </c>
      <c r="L160" s="3">
        <v>45876</v>
      </c>
      <c r="M160" s="2" t="str">
        <f t="shared" si="2"/>
        <v>08/2025</v>
      </c>
    </row>
    <row r="161" spans="1:13" hidden="1" x14ac:dyDescent="0.35">
      <c r="A161">
        <v>1017077</v>
      </c>
      <c r="B161" t="s">
        <v>343</v>
      </c>
      <c r="C161" t="s">
        <v>344</v>
      </c>
      <c r="D161">
        <v>39326</v>
      </c>
      <c r="E161" t="s">
        <v>345</v>
      </c>
      <c r="F161">
        <v>1.69</v>
      </c>
      <c r="G161">
        <v>1.69</v>
      </c>
      <c r="H161">
        <v>79.900000000000006</v>
      </c>
      <c r="I161">
        <v>0</v>
      </c>
      <c r="J161">
        <v>135.03100000000001</v>
      </c>
      <c r="K161">
        <v>0</v>
      </c>
      <c r="L161" s="3">
        <v>45876</v>
      </c>
      <c r="M161" s="2" t="str">
        <f t="shared" si="2"/>
        <v>08/2025</v>
      </c>
    </row>
    <row r="162" spans="1:13" hidden="1" x14ac:dyDescent="0.35">
      <c r="A162">
        <v>1027483</v>
      </c>
      <c r="B162" t="s">
        <v>346</v>
      </c>
      <c r="C162" t="s">
        <v>347</v>
      </c>
      <c r="D162">
        <v>732</v>
      </c>
      <c r="E162" t="s">
        <v>348</v>
      </c>
      <c r="F162">
        <v>1</v>
      </c>
      <c r="G162">
        <v>1</v>
      </c>
      <c r="H162">
        <v>8.9</v>
      </c>
      <c r="I162">
        <v>0</v>
      </c>
      <c r="J162">
        <v>8.9</v>
      </c>
      <c r="K162">
        <v>0</v>
      </c>
      <c r="L162" s="3">
        <v>45880</v>
      </c>
      <c r="M162" s="2" t="str">
        <f t="shared" si="2"/>
        <v>08/2025</v>
      </c>
    </row>
    <row r="163" spans="1:13" hidden="1" x14ac:dyDescent="0.35">
      <c r="A163">
        <v>1049788</v>
      </c>
      <c r="B163" t="s">
        <v>349</v>
      </c>
      <c r="C163" t="s">
        <v>350</v>
      </c>
      <c r="D163">
        <v>59942</v>
      </c>
      <c r="E163" t="s">
        <v>351</v>
      </c>
      <c r="F163">
        <v>16.079999999999998</v>
      </c>
      <c r="G163">
        <v>16.079999999999998</v>
      </c>
      <c r="H163">
        <v>45.9</v>
      </c>
      <c r="I163">
        <v>0</v>
      </c>
      <c r="J163">
        <v>738.072</v>
      </c>
      <c r="K163">
        <v>0</v>
      </c>
      <c r="L163" s="3">
        <v>45882</v>
      </c>
      <c r="M163" s="2" t="str">
        <f t="shared" si="2"/>
        <v>08/2025</v>
      </c>
    </row>
    <row r="164" spans="1:13" hidden="1" x14ac:dyDescent="0.35">
      <c r="A164">
        <v>1042689</v>
      </c>
      <c r="B164" t="s">
        <v>352</v>
      </c>
      <c r="C164" t="s">
        <v>353</v>
      </c>
      <c r="D164">
        <v>7936</v>
      </c>
      <c r="E164" t="s">
        <v>354</v>
      </c>
      <c r="F164">
        <v>5</v>
      </c>
      <c r="G164">
        <v>5</v>
      </c>
      <c r="H164">
        <v>26.9</v>
      </c>
      <c r="I164">
        <v>0</v>
      </c>
      <c r="J164">
        <v>134.5</v>
      </c>
      <c r="K164">
        <v>0</v>
      </c>
      <c r="L164" s="3">
        <v>45883</v>
      </c>
      <c r="M164" s="2" t="str">
        <f t="shared" si="2"/>
        <v>08/2025</v>
      </c>
    </row>
    <row r="165" spans="1:13" hidden="1" x14ac:dyDescent="0.35">
      <c r="A165">
        <v>1033717</v>
      </c>
      <c r="B165" t="s">
        <v>309</v>
      </c>
      <c r="C165" t="s">
        <v>355</v>
      </c>
      <c r="D165">
        <v>54</v>
      </c>
      <c r="E165" t="s">
        <v>51</v>
      </c>
      <c r="F165">
        <v>1</v>
      </c>
      <c r="G165">
        <v>1</v>
      </c>
      <c r="H165">
        <v>105.9</v>
      </c>
      <c r="I165">
        <v>0</v>
      </c>
      <c r="J165">
        <v>105.9</v>
      </c>
      <c r="K165">
        <v>0</v>
      </c>
      <c r="L165" s="3">
        <v>45883</v>
      </c>
      <c r="M165" s="2" t="str">
        <f t="shared" si="2"/>
        <v>08/2025</v>
      </c>
    </row>
    <row r="166" spans="1:13" hidden="1" x14ac:dyDescent="0.35">
      <c r="A166">
        <v>1033717</v>
      </c>
      <c r="B166" t="s">
        <v>309</v>
      </c>
      <c r="C166" t="s">
        <v>355</v>
      </c>
      <c r="D166">
        <v>239</v>
      </c>
      <c r="E166" t="s">
        <v>268</v>
      </c>
      <c r="F166">
        <v>1</v>
      </c>
      <c r="G166">
        <v>1</v>
      </c>
      <c r="H166">
        <v>26.9</v>
      </c>
      <c r="I166">
        <v>0</v>
      </c>
      <c r="J166">
        <v>26.9</v>
      </c>
      <c r="K166">
        <v>0</v>
      </c>
      <c r="L166" s="3">
        <v>45883</v>
      </c>
      <c r="M166" s="2" t="str">
        <f t="shared" si="2"/>
        <v>08/2025</v>
      </c>
    </row>
    <row r="167" spans="1:13" hidden="1" x14ac:dyDescent="0.35">
      <c r="A167">
        <v>1049792</v>
      </c>
      <c r="B167" t="s">
        <v>356</v>
      </c>
      <c r="C167" t="s">
        <v>357</v>
      </c>
      <c r="D167">
        <v>40894</v>
      </c>
      <c r="E167" t="s">
        <v>111</v>
      </c>
      <c r="F167">
        <v>7</v>
      </c>
      <c r="G167">
        <v>7</v>
      </c>
      <c r="H167">
        <v>65.900000000000006</v>
      </c>
      <c r="I167">
        <v>0</v>
      </c>
      <c r="J167">
        <v>461.3</v>
      </c>
      <c r="K167">
        <v>0</v>
      </c>
      <c r="L167" s="3">
        <v>45884</v>
      </c>
      <c r="M167" s="2" t="str">
        <f t="shared" si="2"/>
        <v>08/2025</v>
      </c>
    </row>
    <row r="168" spans="1:13" hidden="1" x14ac:dyDescent="0.35">
      <c r="A168">
        <v>1049792</v>
      </c>
      <c r="B168" t="s">
        <v>356</v>
      </c>
      <c r="C168" t="s">
        <v>357</v>
      </c>
      <c r="D168">
        <v>41</v>
      </c>
      <c r="E168" t="s">
        <v>33</v>
      </c>
      <c r="F168">
        <v>6</v>
      </c>
      <c r="G168">
        <v>6</v>
      </c>
      <c r="H168">
        <v>43.9</v>
      </c>
      <c r="I168">
        <v>0</v>
      </c>
      <c r="J168">
        <v>263.39999999999998</v>
      </c>
      <c r="K168">
        <v>0</v>
      </c>
      <c r="L168" s="3">
        <v>45884</v>
      </c>
      <c r="M168" s="2" t="str">
        <f t="shared" si="2"/>
        <v>08/2025</v>
      </c>
    </row>
    <row r="169" spans="1:13" hidden="1" x14ac:dyDescent="0.35">
      <c r="A169">
        <v>1049792</v>
      </c>
      <c r="B169" t="s">
        <v>356</v>
      </c>
      <c r="C169" t="s">
        <v>357</v>
      </c>
      <c r="D169">
        <v>59934</v>
      </c>
      <c r="E169" t="s">
        <v>358</v>
      </c>
      <c r="F169">
        <v>5.36</v>
      </c>
      <c r="G169">
        <v>5.36</v>
      </c>
      <c r="H169">
        <v>45.9</v>
      </c>
      <c r="I169">
        <v>0</v>
      </c>
      <c r="J169">
        <v>246.024</v>
      </c>
      <c r="K169">
        <v>0</v>
      </c>
      <c r="L169" s="3">
        <v>45884</v>
      </c>
      <c r="M169" s="2" t="str">
        <f t="shared" si="2"/>
        <v>08/2025</v>
      </c>
    </row>
    <row r="170" spans="1:13" hidden="1" x14ac:dyDescent="0.35">
      <c r="A170">
        <v>1049792</v>
      </c>
      <c r="B170" t="s">
        <v>356</v>
      </c>
      <c r="C170" t="s">
        <v>357</v>
      </c>
      <c r="D170">
        <v>42629</v>
      </c>
      <c r="E170" t="s">
        <v>359</v>
      </c>
      <c r="F170">
        <v>16.260000000000002</v>
      </c>
      <c r="G170">
        <v>16.260000000000002</v>
      </c>
      <c r="H170">
        <v>51.9</v>
      </c>
      <c r="I170">
        <v>0</v>
      </c>
      <c r="J170">
        <v>843.89400000000001</v>
      </c>
      <c r="K170">
        <v>0</v>
      </c>
      <c r="L170" s="3">
        <v>45884</v>
      </c>
      <c r="M170" s="2" t="str">
        <f t="shared" si="2"/>
        <v>08/2025</v>
      </c>
    </row>
    <row r="171" spans="1:13" hidden="1" x14ac:dyDescent="0.35">
      <c r="A171">
        <v>1049792</v>
      </c>
      <c r="B171" t="s">
        <v>356</v>
      </c>
      <c r="C171" t="s">
        <v>357</v>
      </c>
      <c r="D171">
        <v>4694</v>
      </c>
      <c r="E171" t="s">
        <v>69</v>
      </c>
      <c r="F171">
        <v>5</v>
      </c>
      <c r="G171">
        <v>5</v>
      </c>
      <c r="H171">
        <v>26.9</v>
      </c>
      <c r="I171">
        <v>0</v>
      </c>
      <c r="J171">
        <v>134.5</v>
      </c>
      <c r="K171">
        <v>0</v>
      </c>
      <c r="L171" s="3">
        <v>45884</v>
      </c>
      <c r="M171" s="2" t="str">
        <f t="shared" si="2"/>
        <v>08/2025</v>
      </c>
    </row>
    <row r="172" spans="1:13" hidden="1" x14ac:dyDescent="0.35">
      <c r="A172">
        <v>1049792</v>
      </c>
      <c r="B172" t="s">
        <v>356</v>
      </c>
      <c r="C172" t="s">
        <v>357</v>
      </c>
      <c r="D172">
        <v>30841</v>
      </c>
      <c r="E172" t="s">
        <v>360</v>
      </c>
      <c r="F172">
        <v>17.010000000000002</v>
      </c>
      <c r="G172">
        <v>17.010000000000002</v>
      </c>
      <c r="H172">
        <v>44.9</v>
      </c>
      <c r="I172">
        <v>0</v>
      </c>
      <c r="J172">
        <v>763.74900000000002</v>
      </c>
      <c r="K172">
        <v>0</v>
      </c>
      <c r="L172" s="3">
        <v>45884</v>
      </c>
      <c r="M172" s="2" t="str">
        <f t="shared" si="2"/>
        <v>08/2025</v>
      </c>
    </row>
    <row r="173" spans="1:13" hidden="1" x14ac:dyDescent="0.35">
      <c r="A173">
        <v>1049788</v>
      </c>
      <c r="B173" t="s">
        <v>349</v>
      </c>
      <c r="C173" t="s">
        <v>361</v>
      </c>
      <c r="D173">
        <v>41</v>
      </c>
      <c r="E173" t="s">
        <v>33</v>
      </c>
      <c r="F173">
        <v>7</v>
      </c>
      <c r="G173">
        <v>7</v>
      </c>
      <c r="H173">
        <v>43.9</v>
      </c>
      <c r="I173">
        <v>0</v>
      </c>
      <c r="J173">
        <v>307.3</v>
      </c>
      <c r="K173">
        <v>0</v>
      </c>
      <c r="L173" s="3">
        <v>45887</v>
      </c>
      <c r="M173" s="2" t="str">
        <f t="shared" si="2"/>
        <v>08/2025</v>
      </c>
    </row>
    <row r="174" spans="1:13" hidden="1" x14ac:dyDescent="0.35">
      <c r="A174">
        <v>1026332</v>
      </c>
      <c r="B174" t="s">
        <v>362</v>
      </c>
      <c r="C174" t="s">
        <v>363</v>
      </c>
      <c r="D174">
        <v>31708</v>
      </c>
      <c r="E174" t="s">
        <v>276</v>
      </c>
      <c r="F174">
        <v>2</v>
      </c>
      <c r="G174">
        <v>2</v>
      </c>
      <c r="H174">
        <v>83.9</v>
      </c>
      <c r="I174">
        <v>0</v>
      </c>
      <c r="J174">
        <v>167.8</v>
      </c>
      <c r="K174">
        <v>0</v>
      </c>
      <c r="L174" s="3">
        <v>45887</v>
      </c>
      <c r="M174" s="2" t="str">
        <f t="shared" si="2"/>
        <v>08/2025</v>
      </c>
    </row>
    <row r="175" spans="1:13" hidden="1" x14ac:dyDescent="0.35">
      <c r="A175">
        <v>1042515</v>
      </c>
      <c r="B175" t="s">
        <v>364</v>
      </c>
      <c r="C175" t="s">
        <v>365</v>
      </c>
      <c r="D175">
        <v>40595</v>
      </c>
      <c r="E175" t="s">
        <v>48</v>
      </c>
      <c r="F175">
        <v>1</v>
      </c>
      <c r="G175">
        <v>1</v>
      </c>
      <c r="H175">
        <v>29.9</v>
      </c>
      <c r="I175">
        <v>0</v>
      </c>
      <c r="J175">
        <v>29.9</v>
      </c>
      <c r="K175">
        <v>0</v>
      </c>
      <c r="L175" s="3">
        <v>45889</v>
      </c>
      <c r="M175" s="2" t="str">
        <f t="shared" si="2"/>
        <v>08/2025</v>
      </c>
    </row>
    <row r="176" spans="1:13" hidden="1" x14ac:dyDescent="0.35">
      <c r="A176">
        <v>1034615</v>
      </c>
      <c r="B176" t="s">
        <v>366</v>
      </c>
      <c r="C176" t="s">
        <v>367</v>
      </c>
      <c r="D176">
        <v>1621</v>
      </c>
      <c r="E176" t="s">
        <v>36</v>
      </c>
      <c r="F176">
        <v>1</v>
      </c>
      <c r="G176">
        <v>1</v>
      </c>
      <c r="H176">
        <v>26.9</v>
      </c>
      <c r="I176">
        <v>0</v>
      </c>
      <c r="J176">
        <v>26.9</v>
      </c>
      <c r="K176">
        <v>0</v>
      </c>
      <c r="L176" s="3">
        <v>45889</v>
      </c>
      <c r="M176" s="2" t="str">
        <f t="shared" si="2"/>
        <v>08/2025</v>
      </c>
    </row>
    <row r="177" spans="1:13" hidden="1" x14ac:dyDescent="0.35">
      <c r="A177">
        <v>1027049</v>
      </c>
      <c r="B177" t="s">
        <v>368</v>
      </c>
      <c r="C177" s="1">
        <v>45889.583333333336</v>
      </c>
      <c r="D177">
        <v>40595</v>
      </c>
      <c r="E177" t="s">
        <v>48</v>
      </c>
      <c r="F177">
        <v>3</v>
      </c>
      <c r="G177">
        <v>3</v>
      </c>
      <c r="H177">
        <v>29.9</v>
      </c>
      <c r="I177">
        <v>0</v>
      </c>
      <c r="J177">
        <v>89.7</v>
      </c>
      <c r="K177">
        <v>0</v>
      </c>
      <c r="L177" s="3">
        <v>45889</v>
      </c>
      <c r="M177" s="2" t="str">
        <f t="shared" si="2"/>
        <v>08/2025</v>
      </c>
    </row>
    <row r="178" spans="1:13" hidden="1" x14ac:dyDescent="0.35">
      <c r="A178">
        <v>1049727</v>
      </c>
      <c r="B178" t="s">
        <v>369</v>
      </c>
      <c r="C178" s="1">
        <v>45890.417870370373</v>
      </c>
      <c r="D178">
        <v>40595</v>
      </c>
      <c r="E178" t="s">
        <v>48</v>
      </c>
      <c r="F178">
        <v>4</v>
      </c>
      <c r="G178">
        <v>4</v>
      </c>
      <c r="H178">
        <v>29.9</v>
      </c>
      <c r="I178">
        <v>0</v>
      </c>
      <c r="J178">
        <v>119.6</v>
      </c>
      <c r="K178">
        <v>0</v>
      </c>
      <c r="L178" s="3">
        <v>45890</v>
      </c>
      <c r="M178" s="2" t="str">
        <f t="shared" si="2"/>
        <v>08/2025</v>
      </c>
    </row>
    <row r="179" spans="1:13" hidden="1" x14ac:dyDescent="0.35">
      <c r="A179">
        <v>1049904</v>
      </c>
      <c r="B179" t="s">
        <v>370</v>
      </c>
      <c r="C179" s="1">
        <v>45891.333333333336</v>
      </c>
      <c r="D179">
        <v>59914</v>
      </c>
      <c r="E179" t="s">
        <v>371</v>
      </c>
      <c r="F179">
        <v>26.52</v>
      </c>
      <c r="G179">
        <v>26.52</v>
      </c>
      <c r="H179">
        <v>43.9</v>
      </c>
      <c r="I179">
        <v>0</v>
      </c>
      <c r="J179">
        <v>1164.2280000000001</v>
      </c>
      <c r="K179">
        <v>0</v>
      </c>
      <c r="L179" s="3">
        <v>45891</v>
      </c>
      <c r="M179" s="2" t="str">
        <f t="shared" si="2"/>
        <v>08/2025</v>
      </c>
    </row>
    <row r="180" spans="1:13" hidden="1" x14ac:dyDescent="0.35">
      <c r="A180">
        <v>1048861</v>
      </c>
      <c r="B180" t="s">
        <v>372</v>
      </c>
      <c r="C180" t="s">
        <v>373</v>
      </c>
      <c r="D180">
        <v>40595</v>
      </c>
      <c r="E180" t="s">
        <v>48</v>
      </c>
      <c r="F180">
        <v>7</v>
      </c>
      <c r="G180">
        <v>7</v>
      </c>
      <c r="H180">
        <v>29.9</v>
      </c>
      <c r="I180">
        <v>0</v>
      </c>
      <c r="J180">
        <v>209.3</v>
      </c>
      <c r="K180">
        <v>0</v>
      </c>
      <c r="L180" s="3">
        <v>45891</v>
      </c>
      <c r="M180" s="2" t="str">
        <f t="shared" si="2"/>
        <v>08/2025</v>
      </c>
    </row>
    <row r="181" spans="1:13" hidden="1" x14ac:dyDescent="0.35">
      <c r="A181">
        <v>1048861</v>
      </c>
      <c r="B181" t="s">
        <v>372</v>
      </c>
      <c r="C181" t="s">
        <v>373</v>
      </c>
      <c r="D181">
        <v>38</v>
      </c>
      <c r="E181" t="s">
        <v>188</v>
      </c>
      <c r="F181">
        <v>2</v>
      </c>
      <c r="G181">
        <v>2</v>
      </c>
      <c r="H181">
        <v>18.899999999999999</v>
      </c>
      <c r="I181">
        <v>0</v>
      </c>
      <c r="J181">
        <v>37.799999999999997</v>
      </c>
      <c r="K181">
        <v>0</v>
      </c>
      <c r="L181" s="3">
        <v>45891</v>
      </c>
      <c r="M181" s="2" t="str">
        <f t="shared" si="2"/>
        <v>08/2025</v>
      </c>
    </row>
    <row r="182" spans="1:13" hidden="1" x14ac:dyDescent="0.35">
      <c r="A182">
        <v>1036404</v>
      </c>
      <c r="B182" t="s">
        <v>374</v>
      </c>
      <c r="C182" s="1">
        <v>45892.708587962959</v>
      </c>
      <c r="D182">
        <v>13984</v>
      </c>
      <c r="E182" t="s">
        <v>17</v>
      </c>
      <c r="F182">
        <v>6</v>
      </c>
      <c r="G182">
        <v>6</v>
      </c>
      <c r="H182">
        <v>109.9</v>
      </c>
      <c r="I182">
        <v>0</v>
      </c>
      <c r="J182">
        <v>659.4</v>
      </c>
      <c r="K182">
        <v>0</v>
      </c>
      <c r="L182" s="3">
        <v>45892</v>
      </c>
      <c r="M182" s="2" t="str">
        <f t="shared" si="2"/>
        <v>08/2025</v>
      </c>
    </row>
    <row r="183" spans="1:13" hidden="1" x14ac:dyDescent="0.35">
      <c r="A183">
        <v>1036404</v>
      </c>
      <c r="B183" t="s">
        <v>374</v>
      </c>
      <c r="C183" s="1">
        <v>45892.708587962959</v>
      </c>
      <c r="D183">
        <v>58003</v>
      </c>
      <c r="E183" t="s">
        <v>375</v>
      </c>
      <c r="F183">
        <v>2</v>
      </c>
      <c r="G183">
        <v>2</v>
      </c>
      <c r="H183">
        <v>501.17</v>
      </c>
      <c r="I183">
        <v>0</v>
      </c>
      <c r="J183">
        <v>1002.34</v>
      </c>
      <c r="K183">
        <v>0</v>
      </c>
      <c r="L183" s="3">
        <v>45892</v>
      </c>
      <c r="M183" s="2" t="str">
        <f t="shared" si="2"/>
        <v>08/2025</v>
      </c>
    </row>
    <row r="184" spans="1:13" hidden="1" x14ac:dyDescent="0.35">
      <c r="A184">
        <v>1036404</v>
      </c>
      <c r="B184" t="s">
        <v>374</v>
      </c>
      <c r="C184" s="1">
        <v>45892.708587962959</v>
      </c>
      <c r="D184">
        <v>65033</v>
      </c>
      <c r="E184" t="s">
        <v>376</v>
      </c>
      <c r="F184">
        <v>2</v>
      </c>
      <c r="G184">
        <v>2</v>
      </c>
      <c r="H184">
        <v>548.97</v>
      </c>
      <c r="I184">
        <v>0</v>
      </c>
      <c r="J184">
        <v>1097.94</v>
      </c>
      <c r="K184">
        <v>0</v>
      </c>
      <c r="L184" s="3">
        <v>45892</v>
      </c>
      <c r="M184" s="2" t="str">
        <f t="shared" si="2"/>
        <v>08/2025</v>
      </c>
    </row>
    <row r="185" spans="1:13" hidden="1" x14ac:dyDescent="0.35">
      <c r="A185">
        <v>1169</v>
      </c>
      <c r="B185" t="s">
        <v>377</v>
      </c>
      <c r="C185" s="1">
        <v>45894.344386574077</v>
      </c>
      <c r="D185">
        <v>41</v>
      </c>
      <c r="E185" t="s">
        <v>33</v>
      </c>
      <c r="F185">
        <v>10</v>
      </c>
      <c r="G185">
        <v>10</v>
      </c>
      <c r="H185">
        <v>43.9</v>
      </c>
      <c r="I185">
        <v>0</v>
      </c>
      <c r="J185">
        <v>439</v>
      </c>
      <c r="K185">
        <v>0</v>
      </c>
      <c r="L185" s="3">
        <v>45894</v>
      </c>
      <c r="M185" s="2" t="str">
        <f t="shared" si="2"/>
        <v>08/2025</v>
      </c>
    </row>
    <row r="186" spans="1:13" hidden="1" x14ac:dyDescent="0.35">
      <c r="A186">
        <v>1169</v>
      </c>
      <c r="B186" t="s">
        <v>377</v>
      </c>
      <c r="C186" s="1">
        <v>45894.344386574077</v>
      </c>
      <c r="D186">
        <v>7480</v>
      </c>
      <c r="E186" t="s">
        <v>378</v>
      </c>
      <c r="F186">
        <v>15</v>
      </c>
      <c r="G186">
        <v>15</v>
      </c>
      <c r="H186">
        <v>45.9</v>
      </c>
      <c r="I186">
        <v>0</v>
      </c>
      <c r="J186">
        <v>688.5</v>
      </c>
      <c r="K186">
        <v>0</v>
      </c>
      <c r="L186" s="3">
        <v>45894</v>
      </c>
      <c r="M186" s="2" t="str">
        <f t="shared" si="2"/>
        <v>08/2025</v>
      </c>
    </row>
    <row r="187" spans="1:13" hidden="1" x14ac:dyDescent="0.35">
      <c r="A187">
        <v>1169</v>
      </c>
      <c r="B187" t="s">
        <v>377</v>
      </c>
      <c r="C187" s="1">
        <v>45894.344386574077</v>
      </c>
      <c r="D187">
        <v>1510</v>
      </c>
      <c r="E187" t="s">
        <v>379</v>
      </c>
      <c r="F187">
        <v>5</v>
      </c>
      <c r="G187">
        <v>5</v>
      </c>
      <c r="H187">
        <v>18.899999999999999</v>
      </c>
      <c r="I187">
        <v>0</v>
      </c>
      <c r="J187">
        <v>94.5</v>
      </c>
      <c r="K187">
        <v>0</v>
      </c>
      <c r="L187" s="3">
        <v>45894</v>
      </c>
      <c r="M187" s="2" t="str">
        <f t="shared" si="2"/>
        <v>08/2025</v>
      </c>
    </row>
    <row r="188" spans="1:13" hidden="1" x14ac:dyDescent="0.35">
      <c r="A188">
        <v>1050128</v>
      </c>
      <c r="B188" t="s">
        <v>380</v>
      </c>
      <c r="C188" s="1">
        <v>45894.361331018517</v>
      </c>
      <c r="D188">
        <v>40595</v>
      </c>
      <c r="E188" t="s">
        <v>48</v>
      </c>
      <c r="F188">
        <v>5</v>
      </c>
      <c r="G188">
        <v>5</v>
      </c>
      <c r="H188">
        <v>29.9</v>
      </c>
      <c r="I188">
        <v>0</v>
      </c>
      <c r="J188">
        <v>149.5</v>
      </c>
      <c r="K188">
        <v>0</v>
      </c>
      <c r="L188" s="3">
        <v>45894</v>
      </c>
      <c r="M188" s="2" t="str">
        <f t="shared" si="2"/>
        <v>08/2025</v>
      </c>
    </row>
    <row r="189" spans="1:13" hidden="1" x14ac:dyDescent="0.35">
      <c r="A189">
        <v>1050128</v>
      </c>
      <c r="B189" t="s">
        <v>380</v>
      </c>
      <c r="C189" s="1">
        <v>45894.361331018517</v>
      </c>
      <c r="D189">
        <v>23720</v>
      </c>
      <c r="E189" t="s">
        <v>381</v>
      </c>
      <c r="F189">
        <v>5.24</v>
      </c>
      <c r="G189">
        <v>5.24</v>
      </c>
      <c r="H189">
        <v>44.9</v>
      </c>
      <c r="I189">
        <v>0</v>
      </c>
      <c r="J189">
        <v>235.27600000000001</v>
      </c>
      <c r="K189">
        <v>0</v>
      </c>
      <c r="L189" s="3">
        <v>45894</v>
      </c>
      <c r="M189" s="2" t="str">
        <f t="shared" si="2"/>
        <v>08/2025</v>
      </c>
    </row>
    <row r="190" spans="1:13" hidden="1" x14ac:dyDescent="0.35">
      <c r="A190">
        <v>1050128</v>
      </c>
      <c r="B190" t="s">
        <v>380</v>
      </c>
      <c r="C190" s="1">
        <v>45894.361331018517</v>
      </c>
      <c r="D190">
        <v>3872</v>
      </c>
      <c r="E190" t="s">
        <v>382</v>
      </c>
      <c r="F190">
        <v>2</v>
      </c>
      <c r="G190">
        <v>2</v>
      </c>
      <c r="H190">
        <v>17.899999999999999</v>
      </c>
      <c r="I190">
        <v>0</v>
      </c>
      <c r="J190">
        <v>35.799999999999997</v>
      </c>
      <c r="K190">
        <v>0</v>
      </c>
      <c r="L190" s="3">
        <v>45894</v>
      </c>
      <c r="M190" s="2" t="str">
        <f t="shared" si="2"/>
        <v>08/2025</v>
      </c>
    </row>
    <row r="191" spans="1:13" hidden="1" x14ac:dyDescent="0.35">
      <c r="A191">
        <v>1050128</v>
      </c>
      <c r="B191" t="s">
        <v>380</v>
      </c>
      <c r="C191" s="1">
        <v>45894.361331018517</v>
      </c>
      <c r="D191">
        <v>25017</v>
      </c>
      <c r="E191" t="s">
        <v>383</v>
      </c>
      <c r="F191">
        <v>9.7200000000000006</v>
      </c>
      <c r="G191">
        <v>9.7200000000000006</v>
      </c>
      <c r="H191">
        <v>44.9</v>
      </c>
      <c r="I191">
        <v>0</v>
      </c>
      <c r="J191">
        <v>436.428</v>
      </c>
      <c r="K191">
        <v>0</v>
      </c>
      <c r="L191" s="3">
        <v>45894</v>
      </c>
      <c r="M191" s="2" t="str">
        <f t="shared" si="2"/>
        <v>08/2025</v>
      </c>
    </row>
    <row r="192" spans="1:13" hidden="1" x14ac:dyDescent="0.35">
      <c r="A192">
        <v>1007238</v>
      </c>
      <c r="B192" t="s">
        <v>384</v>
      </c>
      <c r="C192" t="s">
        <v>385</v>
      </c>
      <c r="D192">
        <v>11089</v>
      </c>
      <c r="E192" t="s">
        <v>386</v>
      </c>
      <c r="F192">
        <v>0.11</v>
      </c>
      <c r="G192">
        <v>0.11</v>
      </c>
      <c r="H192">
        <v>193.9</v>
      </c>
      <c r="I192">
        <v>0</v>
      </c>
      <c r="J192">
        <v>21.329000000000001</v>
      </c>
      <c r="K192">
        <v>0</v>
      </c>
      <c r="L192" s="3">
        <v>45894</v>
      </c>
      <c r="M192" s="2" t="str">
        <f t="shared" si="2"/>
        <v>08/2025</v>
      </c>
    </row>
    <row r="193" spans="1:13" hidden="1" x14ac:dyDescent="0.35">
      <c r="A193">
        <v>1007238</v>
      </c>
      <c r="B193" t="s">
        <v>384</v>
      </c>
      <c r="C193" t="s">
        <v>385</v>
      </c>
      <c r="D193">
        <v>11091</v>
      </c>
      <c r="E193" t="s">
        <v>387</v>
      </c>
      <c r="F193">
        <v>0.09</v>
      </c>
      <c r="G193">
        <v>0.09</v>
      </c>
      <c r="H193">
        <v>225.9</v>
      </c>
      <c r="I193">
        <v>0</v>
      </c>
      <c r="J193">
        <v>20.331</v>
      </c>
      <c r="K193">
        <v>0</v>
      </c>
      <c r="L193" s="3">
        <v>45894</v>
      </c>
      <c r="M193" s="2" t="str">
        <f t="shared" si="2"/>
        <v>08/2025</v>
      </c>
    </row>
    <row r="194" spans="1:13" hidden="1" x14ac:dyDescent="0.35">
      <c r="A194">
        <v>1</v>
      </c>
      <c r="B194" t="s">
        <v>388</v>
      </c>
      <c r="C194" t="s">
        <v>389</v>
      </c>
      <c r="D194">
        <v>14518</v>
      </c>
      <c r="E194" t="s">
        <v>390</v>
      </c>
      <c r="F194">
        <v>1</v>
      </c>
      <c r="G194">
        <v>1</v>
      </c>
      <c r="H194">
        <v>1699.9</v>
      </c>
      <c r="I194">
        <v>0</v>
      </c>
      <c r="J194">
        <v>1699.9</v>
      </c>
      <c r="K194">
        <v>0</v>
      </c>
      <c r="L194" s="3">
        <v>45894</v>
      </c>
      <c r="M194" s="2" t="str">
        <f t="shared" si="2"/>
        <v>08/2025</v>
      </c>
    </row>
  </sheetData>
  <autoFilter ref="A1:M194" xr:uid="{DC5F5BD6-0572-4AD0-8B90-3B4A0FDA127F}">
    <filterColumn colId="12">
      <filters>
        <filter val="07/2025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2025-08-25T12:56:58Z</dcterms:created>
  <dcterms:modified xsi:type="dcterms:W3CDTF">2025-08-25T15:57:17Z</dcterms:modified>
</cp:coreProperties>
</file>